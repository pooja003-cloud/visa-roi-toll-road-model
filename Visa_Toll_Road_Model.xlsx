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6.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Tab1_Drivers" sheetId="1" state="visible" r:id="rId3"/>
    <sheet name="Tab2_Core_Returns" sheetId="2" state="visible" r:id="rId4"/>
    <sheet name="Tab3_ROIC_WACC" sheetId="3" state="visible" r:id="rId5"/>
    <sheet name="Tab4_Capital_Allocation" sheetId="4" state="visible" r:id="rId6"/>
    <sheet name="Tab5_Peer_Mastercard" sheetId="5" state="visible" r:id="rId7"/>
    <sheet name="Data" sheetId="6" state="visible" r:id="rId8"/>
    <sheet name="Data_MA" sheetId="7" state="visible" r:id="rId9"/>
  </sheets>
  <calcPr iterateCount="100" refMode="A1" iterate="false" iterateDelta="0.0001"/>
  <extLst>
    <ext xmlns:loext="http://schemas.libreoffice.org/" uri="{7626C862-2A13-11E5-B345-FEFF819CDC9F}">
      <loext:extCalcPr stringRefSyntax="ExcelA1"/>
    </ext>
  </extLst>
</workbook>
</file>

<file path=xl/comments6.xml><?xml version="1.0" encoding="utf-8"?>
<comments xmlns="http://schemas.openxmlformats.org/spreadsheetml/2006/main" xmlns:xdr="http://schemas.openxmlformats.org/drawingml/2006/spreadsheetDrawing">
  <authors>
    <author>Unknown Author</author>
  </authors>
  <commentList>
    <comment ref="A8" authorId="0">
      <text>
        <r>
          <rPr>
            <sz val="10"/>
            <rFont val="Arial"/>
            <family val="2"/>
          </rPr>
          <t xml:space="preserve">Visa reports payments volume rounded to $0.1T. FY21–22 from a secondary source; cross-check against the FY22 Annual Report key statistics before final.</t>
        </r>
      </text>
    </comment>
    <comment ref="A28" authorId="0">
      <text>
        <r>
          <rPr>
            <sz val="10"/>
            <rFont val="Arial"/>
            <family val="2"/>
          </rPr>
          <t xml:space="preserve">Visa's own non-GAAP strips specific special items only (e.g., MDL litigation, severance, acquired-intangible amortization) — not the full litigation line.</t>
        </r>
      </text>
    </comment>
    <comment ref="A35" authorId="0">
      <text>
        <r>
          <rPr>
            <sz val="10"/>
            <rFont val="Arial"/>
            <family val="2"/>
          </rPr>
          <t xml:space="preserve">FY21 effective rate 23.4% includes a ~$1.0B one-off tax charge (UK deferred tax remeasurement); Visa non-GAAP rate 17.0%. Normalize for NOPAT.</t>
        </r>
      </text>
    </comment>
  </commentList>
</comments>
</file>

<file path=xl/sharedStrings.xml><?xml version="1.0" encoding="utf-8"?>
<sst xmlns="http://schemas.openxmlformats.org/spreadsheetml/2006/main" count="764" uniqueCount="535">
  <si>
    <t xml:space="preserve">Tab 1 — Operational Drivers &amp; Volume</t>
  </si>
  <si>
    <t xml:space="preserve">Visa Inc. · $ in millions unless noted · FY ends Sep 30 · green = link · black = formula · blue on yellow = base-case assumption</t>
  </si>
  <si>
    <t xml:space="preserve">Historical (audited)</t>
  </si>
  <si>
    <t xml:space="preserve">Projections — base case</t>
  </si>
  <si>
    <t xml:space="preserve">Line item</t>
  </si>
  <si>
    <t xml:space="preserve">FY21</t>
  </si>
  <si>
    <t xml:space="preserve">FY22</t>
  </si>
  <si>
    <t xml:space="preserve">FY23</t>
  </si>
  <si>
    <t xml:space="preserve">FY24</t>
  </si>
  <si>
    <t xml:space="preserve">FY25</t>
  </si>
  <si>
    <t xml:space="preserve">FY26P</t>
  </si>
  <si>
    <t xml:space="preserve">FY27P</t>
  </si>
  <si>
    <t xml:space="preserve">FY28P</t>
  </si>
  <si>
    <t xml:space="preserve">FY29P</t>
  </si>
  <si>
    <t xml:space="preserve">FY30P</t>
  </si>
  <si>
    <t xml:space="preserve">Formula / note</t>
  </si>
  <si>
    <t xml:space="preserve">Payment volume &amp; transactions</t>
  </si>
  <si>
    <t xml:space="preserve">Payments volume ($ billions)</t>
  </si>
  <si>
    <t xml:space="preserve">Hist: Data tab · Proj: prior year × (1 + growth)</t>
  </si>
  <si>
    <t xml:space="preserve">YoY growth</t>
  </si>
  <si>
    <t xml:space="preserve">FY26P 10%: Q3 FY26 payments volume +11% nominal / +10% constant $; then fades to ~7% (FY22–25 avg ~7%)</t>
  </si>
  <si>
    <t xml:space="preserve">Processed transactions (billions)</t>
  </si>
  <si>
    <t xml:space="preserve">FY26P 10%: Q3 FY26 processed transactions +10%; FY23–25 ran ~10%</t>
  </si>
  <si>
    <t xml:space="preserve">Average transaction size ($)</t>
  </si>
  <si>
    <t xml:space="preserve">Formula: Payments volume / Processed transactions · proxy only, see note 2</t>
  </si>
  <si>
    <t xml:space="preserve">Revenue breakdown ($ millions)</t>
  </si>
  <si>
    <t xml:space="preserve">Service revenues</t>
  </si>
  <si>
    <t xml:space="preserve">Proj: Payments volume × service yield (see efficiency block)</t>
  </si>
  <si>
    <t xml:space="preserve">Data processing revenues</t>
  </si>
  <si>
    <t xml:space="preserve">Proj: Processed transactions × DP revenue per transaction</t>
  </si>
  <si>
    <t xml:space="preserve">International transaction revenues</t>
  </si>
  <si>
    <t xml:space="preserve">Proj: prior year × (1 + growth) · driven by cross-border volume</t>
  </si>
  <si>
    <t xml:space="preserve">FY26P 8%: Q3 FY26 +6% despite cross-border volume +13–15% (pricing/FX mix); normalises to ~9–10%</t>
  </si>
  <si>
    <t xml:space="preserve">Other revenues</t>
  </si>
  <si>
    <t xml:space="preserve">Proj: prior year × (1 + growth) · value-added services</t>
  </si>
  <si>
    <t xml:space="preserve">FY26P 40%: Q3 FY26 +45%; FY25 +27%; fades as the base grows</t>
  </si>
  <si>
    <t xml:space="preserve">Gross revenues</t>
  </si>
  <si>
    <t xml:space="preserve">Formula: Sum of the four revenue lines</t>
  </si>
  <si>
    <t xml:space="preserve">Less: Client incentives</t>
  </si>
  <si>
    <t xml:space="preserve">Proj: Gross revenues × incentive rate</t>
  </si>
  <si>
    <t xml:space="preserve">Total net revenues</t>
  </si>
  <si>
    <t xml:space="preserve">Formula: Gross revenues – Client incentives</t>
  </si>
  <si>
    <t xml:space="preserve">Check: FY26 9M actual net revenue growth was +15.3% (Q3 FY26 release)</t>
  </si>
  <si>
    <t xml:space="preserve">Check: vs reported net revenue (should be 0)</t>
  </si>
  <si>
    <t xml:space="preserve">Ties to 10-K net revenue</t>
  </si>
  <si>
    <t xml:space="preserve">Revenue mix (% of gross revenues)</t>
  </si>
  <si>
    <t xml:space="preserve">Service</t>
  </si>
  <si>
    <t xml:space="preserve">Data processing</t>
  </si>
  <si>
    <t xml:space="preserve">International transaction</t>
  </si>
  <si>
    <t xml:space="preserve">Other</t>
  </si>
  <si>
    <t xml:space="preserve">Efficiency metrics — the 'toll'</t>
  </si>
  <si>
    <t xml:space="preserve">Core take rate (%)</t>
  </si>
  <si>
    <t xml:space="preserve">Formula: Net revenues / (Payments volume × 1,000)</t>
  </si>
  <si>
    <t xml:space="preserve">Core take rate (bps)</t>
  </si>
  <si>
    <t xml:space="preserve">Gross take rate (bps)</t>
  </si>
  <si>
    <t xml:space="preserve">Gross revenues / Payments volume, before incentives</t>
  </si>
  <si>
    <t xml:space="preserve">Client incentives (% of gross revenues)</t>
  </si>
  <si>
    <t xml:space="preserve">Proj input: keeps rising ~0.3–0.5 pt a year (FY21 25.8% → FY25 28.3%); Q3 FY26 incentives +18%</t>
  </si>
  <si>
    <t xml:space="preserve">Service revenue yield (bps of payments volume)</t>
  </si>
  <si>
    <t xml:space="preserve">Proj input: +0.1–0.35 bps a year (FY21 11.0 → FY25 12.35); Q3 FY26 service revenue +14%</t>
  </si>
  <si>
    <t xml:space="preserve">Data processing revenue per transaction ($)</t>
  </si>
  <si>
    <t xml:space="preserve">Proj input: FY25 $0.078; Q3 FY26 DP revenue +17% on transactions +10% implies ~$0.082</t>
  </si>
  <si>
    <t xml:space="preserve">Net revenue per transaction ($)</t>
  </si>
  <si>
    <t xml:space="preserve">All-in 'toll' per swipe</t>
  </si>
  <si>
    <t xml:space="preserve">Notes</t>
  </si>
  <si>
    <t xml:space="preserve">1. Timing: payments volume covers the 12 months to Sep 30, but Visa prices service revenue on the PRIOR quarter's payments volume. Net revenue therefore reflects roughly Jul–Jun volume, while the denominator is Oct–Sep. It is a timing effect, not a pricing change.</t>
  </si>
  <si>
    <t xml:space="preserve">2. Average transaction size is a proxy: payments volume (all Visa-branded payments, excl. cash) and processed transactions (VisaNet only, incl. some cash) do not cover exactly the same universe.</t>
  </si>
  <si>
    <t xml:space="preserve">3. FY21 international revenue was depressed by COVID travel restrictions; the FY22 jump (+50%) is cross-border recovery, so FY21→FY22 growth rates overstate the run-rate.</t>
  </si>
  <si>
    <t xml:space="preserve">4. Projections (base case): revenue is built bottom-up — service = volume × yield, data processing = transactions × price per transaction, international and other grow at input rates, incentives = % of gross. FY26P is calibrated to the nine months to Jun 30, 2026 (Q3 FY26 8-K). FY26 actuals arrive with the 10-K in mid-November 2026 and will replace FY26P.</t>
  </si>
  <si>
    <t xml:space="preserve">Tab 2 — 3-Statement Core &amp; Returns</t>
  </si>
  <si>
    <t xml:space="preserve">Visa Inc. · $ in millions unless noted · FY ends Sep 30 · green = link · black = formula · blue = assumption (yellow = base-case projection input)</t>
  </si>
  <si>
    <t xml:space="preserve">Assumptions</t>
  </si>
  <si>
    <t xml:space="preserve">Treat investment securities as cash in invested capital? (1 = yes, 0 = no)</t>
  </si>
  <si>
    <t xml:space="preserve">1 = subtract cash + current &amp; non-current investment securities. Litigation escrow is never subtracted: it is restricted cash earmarked for settlements.</t>
  </si>
  <si>
    <t xml:space="preserve">FY21 normalised tax rate</t>
  </si>
  <si>
    <t xml:space="preserve">Visa's FY21 non-GAAP effective tax rate (Q4 FY21 release). GAAP 23.4% includes a ~$1.0B one-off deferred-tax remeasurement.</t>
  </si>
  <si>
    <t xml:space="preserve">Income statement essentials</t>
  </si>
  <si>
    <t xml:space="preserve">Link: Tab 1 total net revenues</t>
  </si>
  <si>
    <t xml:space="preserve">Operating expenses ex-litigation</t>
  </si>
  <si>
    <t xml:space="preserve">Hist: Data (total opex – litigation) · Proj: Net revenues × opex ratio</t>
  </si>
  <si>
    <t xml:space="preserve">Opex ex-litigation (% of net revenues)</t>
  </si>
  <si>
    <t xml:space="preserve">FY26P 34.0%: 9M FY26 actual 34.4% incl. ~$0.6B severance; then –0.2 pt a year (modest leverage, consistent with DOL ~1.0x)</t>
  </si>
  <si>
    <t xml:space="preserve">Litigation provision</t>
  </si>
  <si>
    <t xml:space="preserve">FY26P = 9M FY26 actual ($1,290M), no Q4 assumed · FY27P+ $500M/yr placeholder (does not affect ex-litigation metrics)</t>
  </si>
  <si>
    <t xml:space="preserve">Operating expenses (total, GAAP)</t>
  </si>
  <si>
    <t xml:space="preserve">Proj: Opex ex-litigation + litigation provision</t>
  </si>
  <si>
    <t xml:space="preserve">Operating income (EBIT) — GAAP</t>
  </si>
  <si>
    <t xml:space="preserve">Formula: Net revenues – Operating expenses</t>
  </si>
  <si>
    <t xml:space="preserve">Operating margin (%) — GAAP</t>
  </si>
  <si>
    <t xml:space="preserve">Check: vs reported operating income (should be 0)</t>
  </si>
  <si>
    <t xml:space="preserve">Ties to 10-K</t>
  </si>
  <si>
    <t xml:space="preserve">EBIT ex-litigation (analytical)</t>
  </si>
  <si>
    <t xml:space="preserve">Formula: GAAP EBIT + litigation provision · used for ROIC in Tab 3</t>
  </si>
  <si>
    <t xml:space="preserve">Operating margin (%) — ex-litigation</t>
  </si>
  <si>
    <t xml:space="preserve">Memo: EBIT on Visa's non-GAAP basis</t>
  </si>
  <si>
    <t xml:space="preserve">Hist only: Net revenues – Visa non-GAAP opex</t>
  </si>
  <si>
    <t xml:space="preserve">Operating margin (%) — Visa non-GAAP</t>
  </si>
  <si>
    <t xml:space="preserve">Non-operating income (expense)</t>
  </si>
  <si>
    <t xml:space="preserve">FY26P: 9M FY26 actual –$115M; held at –$150M (interest cost ~ investment income)</t>
  </si>
  <si>
    <t xml:space="preserve">Pre-tax income</t>
  </si>
  <si>
    <t xml:space="preserve">Proj: EBIT + non-operating</t>
  </si>
  <si>
    <t xml:space="preserve">Income tax provision</t>
  </si>
  <si>
    <t xml:space="preserve">Proj: Pre-tax income × tax rate</t>
  </si>
  <si>
    <t xml:space="preserve">Tax rate (%) — GAAP effective</t>
  </si>
  <si>
    <t xml:space="preserve">FY26P 16.0%: 9M FY26 actual 15.6% · then 17.0% (FY23–25 range 17.1–17.9%)</t>
  </si>
  <si>
    <t xml:space="preserve">Tax rate (%) — normalised (for NOPAT)</t>
  </si>
  <si>
    <t xml:space="preserve">FY21 = assumption B6; other years = effective rate</t>
  </si>
  <si>
    <t xml:space="preserve">Net income</t>
  </si>
  <si>
    <t xml:space="preserve">Proj: Pre-tax income – tax</t>
  </si>
  <si>
    <t xml:space="preserve">Net margin (%)</t>
  </si>
  <si>
    <t xml:space="preserve">Operating leverage</t>
  </si>
  <si>
    <t xml:space="preserve">Payments volume growth</t>
  </si>
  <si>
    <t xml:space="preserve">Link: Tab 1</t>
  </si>
  <si>
    <t xml:space="preserve">Net revenue growth</t>
  </si>
  <si>
    <t xml:space="preserve">EBIT growth — GAAP</t>
  </si>
  <si>
    <t xml:space="preserve">EBIT growth — ex-litigation</t>
  </si>
  <si>
    <t xml:space="preserve">Degree of operating leverage — GAAP</t>
  </si>
  <si>
    <t xml:space="preserve">Formula: %Δ EBIT / %Δ Net revenues</t>
  </si>
  <si>
    <t xml:space="preserve">Degree of operating leverage — ex-litigation</t>
  </si>
  <si>
    <t xml:space="preserve">Core operating leverage, litigation noise removed</t>
  </si>
  <si>
    <t xml:space="preserve">Incremental EBIT margin — ex-litigation</t>
  </si>
  <si>
    <t xml:space="preserve">Formula: Δ EBIT ex-lit / Δ Net revenues</t>
  </si>
  <si>
    <t xml:space="preserve">Cumulative incremental EBIT margin — ex-litigation</t>
  </si>
  <si>
    <t xml:space="preserve">FY25 column: FY21→FY25 · FY30P column: FY25→FY30P</t>
  </si>
  <si>
    <t xml:space="preserve">Margin change — ex-litigation</t>
  </si>
  <si>
    <t xml:space="preserve">Balance sheet essentials</t>
  </si>
  <si>
    <t xml:space="preserve">Cash &amp; cash equivalents</t>
  </si>
  <si>
    <t xml:space="preserve">Proj: prior + FCF – dividends – buybacks – acquisitions + net debt issuance</t>
  </si>
  <si>
    <t xml:space="preserve">Memo: minimum operating cash balance</t>
  </si>
  <si>
    <t xml:space="preserve">Input: floor for the check below (Visa has held $12–17B; settlement needs make a floor sensible)</t>
  </si>
  <si>
    <t xml:space="preserve">Check: projected cash above minimum (1 = OK, 0 = raise debt or cut buybacks)</t>
  </si>
  <si>
    <t xml:space="preserve">Stress test: returning 150% of FCF every year drives cash to about –$62B by FY30P — this flag catches it</t>
  </si>
  <si>
    <t xml:space="preserve">Investment securities (current + non-current)</t>
  </si>
  <si>
    <t xml:space="preserve">Proj: held flat</t>
  </si>
  <si>
    <t xml:space="preserve">Cash deducted in invested capital</t>
  </si>
  <si>
    <t xml:space="preserve">Formula: Cash + (switch B5 × investment securities)</t>
  </si>
  <si>
    <t xml:space="preserve">Memo: Restricted cash — litigation escrow (not deducted)</t>
  </si>
  <si>
    <t xml:space="preserve">Hist only · restricted, treated as operating</t>
  </si>
  <si>
    <t xml:space="preserve">Total debt (short-term + long-term)</t>
  </si>
  <si>
    <t xml:space="preserve">FY26P = Jun 30, 2026 actual $23,858M (Q3 FY26 release) · held flat (maturities refinanced)</t>
  </si>
  <si>
    <t xml:space="preserve">Total shareholders' equity</t>
  </si>
  <si>
    <t xml:space="preserve">Proj: prior + net income – dividends – buybacks (ignores share-based comp and OCI)</t>
  </si>
  <si>
    <t xml:space="preserve">Invested capital</t>
  </si>
  <si>
    <t xml:space="preserve">Formula: Total debt + Equity – Cash</t>
  </si>
  <si>
    <t xml:space="preserve">Average invested capital</t>
  </si>
  <si>
    <t xml:space="preserve">Formula: (Opening + Closing) / 2</t>
  </si>
  <si>
    <t xml:space="preserve">Acquisitions (cash paid)</t>
  </si>
  <si>
    <t xml:space="preserve">Proj input: FY21–25 average ≈ $765M/yr (cash flow statement: 75 / 1,948 / 0 / 915 / 887) · added to goodwill, paid from cash</t>
  </si>
  <si>
    <t xml:space="preserve">Goodwill</t>
  </si>
  <si>
    <t xml:space="preserve">Proj: prior + acquisitions (simplification: whole price booked as goodwill)</t>
  </si>
  <si>
    <t xml:space="preserve">Intangible assets, net</t>
  </si>
  <si>
    <t xml:space="preserve">Proj: flat (mostly indefinite-lived Visa Europe rights)</t>
  </si>
  <si>
    <t xml:space="preserve">Invested capital ex-goodwill</t>
  </si>
  <si>
    <t xml:space="preserve">Formula: Invested capital – Goodwill</t>
  </si>
  <si>
    <t xml:space="preserve">Memo: Tangible invested capital (ex-goodwill &amp; intangibles)</t>
  </si>
  <si>
    <t xml:space="preserve">Negative = the network runs on other people's money</t>
  </si>
  <si>
    <t xml:space="preserve">Cash flow essentials</t>
  </si>
  <si>
    <t xml:space="preserve">Operating cash flow (OCF)</t>
  </si>
  <si>
    <t xml:space="preserve">Proj: FCF + CapEx</t>
  </si>
  <si>
    <t xml:space="preserve">Capital expenditures (CapEx)</t>
  </si>
  <si>
    <t xml:space="preserve">Proj: Net revenues × capital intensity</t>
  </si>
  <si>
    <t xml:space="preserve">Free cash flow (FCF)</t>
  </si>
  <si>
    <t xml:space="preserve">Hist: OCF – CapEx · Proj: Net income × FCF conversion</t>
  </si>
  <si>
    <t xml:space="preserve">FCF margin (%)</t>
  </si>
  <si>
    <t xml:space="preserve">FCF conversion rate (%)</t>
  </si>
  <si>
    <t xml:space="preserve">FY26P 90%: 9M FY26 actual 87% (higher cash taxes/litigation payments) · then 100% (below the 5-yr avg of 113%)</t>
  </si>
  <si>
    <t xml:space="preserve">Capital intensity (%)</t>
  </si>
  <si>
    <t xml:space="preserve">FY26P 3.5%: 9M FY26 actual 3.5% · then 3.6%</t>
  </si>
  <si>
    <t xml:space="preserve">CapEx / D&amp;A</t>
  </si>
  <si>
    <t xml:space="preserve">Hist only</t>
  </si>
  <si>
    <t xml:space="preserve">Incremental FCF margin</t>
  </si>
  <si>
    <t xml:space="preserve">Formula: Δ FCF / Δ Net revenues</t>
  </si>
  <si>
    <t xml:space="preserve">Cumulative incremental FCF margin</t>
  </si>
  <si>
    <t xml:space="preserve">1. Operating leverage: ex-litigation, Visa's DOL is about 1.0x across FY22–FY25, so margins are roughly flat (~66–67%). The 'toll road' leverage shows up in capital, not opex: each new revenue dollar needs only ~3–4 cents of CapEx.</t>
  </si>
  <si>
    <t xml:space="preserve">2. Tangible invested capital is NEGATIVE in every year: the operating network is funded by operating liabilities (client-incentive accruals, settlement obligations, deferred taxes), not shareholder capital.</t>
  </si>
  <si>
    <t xml:space="preserve">3. FY24 OCF dipped (–4%) mainly because cash taxes rose to $5.8B from $3.4B in FY23, which pulled FCF conversion below 100%.</t>
  </si>
  <si>
    <t xml:space="preserve">4. Projections (base case): opex ex-litigation as % of revenue, tax rate, FCF conversion and capital intensity are inputs (yellow), calibrated to the nine months to Jun 30, 2026. Balance sheet rolls forward: equity + net income – capital returned; cash + FCF – capital returned + net debt issuance. Invested capital therefore grows by (net income – FCF + acquisitions) each year — mostly acquisitions, because FCF ≈ net income. Share-based compensation (which also adds to equity) is ignored, so projected capital is slightly understated and projected ROIC slightly overstated.</t>
  </si>
  <si>
    <t xml:space="preserve">Tab 3 — ROIC vs WACC Analysis (the 'Moat' tab)</t>
  </si>
  <si>
    <t xml:space="preserve">Visa Inc. · $ in millions unless noted · market inputs as of Oct 15, 2026 · blue = input · black = formula · green = link · yellow = judgement call</t>
  </si>
  <si>
    <t xml:space="preserve">WACC inputs — Metric | Value | Source / formula</t>
  </si>
  <si>
    <t xml:space="preserve">Cost of equity (CAPM)</t>
  </si>
  <si>
    <t xml:space="preserve">Risk-free rate (10-year U.S. Treasury par yield)</t>
  </si>
  <si>
    <t xml:space="preserve">U.S. Treasury Daily Par Yield Curve, 10 Yr, Oct 14, 2026 close (latest official print): 5.19% — https://home.treasury.gov/resource-center/data-chart-center/interest-rates/TextView?type=daily_treasury_yield_curve&amp;field_tdr_date_value_month=202610</t>
  </si>
  <si>
    <t xml:space="preserve">Visa raw beta (5-year, monthly vs S&amp;P 500)</t>
  </si>
  <si>
    <t xml:space="preserve">Yahoo Finance 'Beta (5Y Monthly)' 0.77 (CNBC shows 0.82) — third-party figures supplied by you; no primary source. Sensitivity grid covers 0.59–1.10</t>
  </si>
  <si>
    <t xml:space="preserve">Blume weight on raw beta</t>
  </si>
  <si>
    <t xml:space="preserve">Standard Blume adjustment (Bloomberg convention): adjusted β = 0.67 × raw + 0.33 × 1.0</t>
  </si>
  <si>
    <t xml:space="preserve">Adjusted beta (used)</t>
  </si>
  <si>
    <t xml:space="preserve">Formula: Blume-adjusted beta — pulls a low raw beta toward 1.0</t>
  </si>
  <si>
    <t xml:space="preserve">Equity risk premium</t>
  </si>
  <si>
    <t xml:space="preserve">Agreed base case: 5.5% (conservative). Damodaran's implied ERP is 4.20% (Oct 1, 2026) — see memo below the WACC</t>
  </si>
  <si>
    <t xml:space="preserve">Cost of equity (Ke)</t>
  </si>
  <si>
    <t xml:space="preserve">Formula: Rf + β × ERP</t>
  </si>
  <si>
    <t xml:space="preserve">Cost of debt</t>
  </si>
  <si>
    <t xml:space="preserve">Visa 4.150% senior notes due Dec 14, 2035 — yield (CUSIP 92826CAE2)</t>
  </si>
  <si>
    <t xml:space="preserve">Public.com quote: price 90.95, yield 5.42% (no timestamp; may be yield-to-worst given Jun 2035 par call). Terms: SEC FWP https://www.sec.gov/Archives/edgar/data/1403161/000119312515399417/d102656dfwp.htm · verify last trade on FINRA</t>
  </si>
  <si>
    <t xml:space="preserve">Pre-tax cost of debt (market)</t>
  </si>
  <si>
    <t xml:space="preserve">Formula: = Visa's traded ~9-year USD bond yield (a marginal cost, not the ~3% book rate)</t>
  </si>
  <si>
    <t xml:space="preserve">Tax rate</t>
  </si>
  <si>
    <t xml:space="preserve">Link: Tab 2 FY25 effective tax rate</t>
  </si>
  <si>
    <t xml:space="preserve">After-tax cost of debt (Kd)</t>
  </si>
  <si>
    <t xml:space="preserve">Formula: Pre-tax Kd × (1 – tax rate)</t>
  </si>
  <si>
    <t xml:space="preserve">Memo: interest expense, 9 months to Jun 30, 2026</t>
  </si>
  <si>
    <t xml:space="preserve">Q3 FY26 earnings release (8-K) — https://www.sec.gov/Archives/edgar/data/0001403161/000140316126000103/q32026earningsrelease.htm</t>
  </si>
  <si>
    <t xml:space="preserve">Capital structure (market values)</t>
  </si>
  <si>
    <t xml:space="preserve">Share price ($) — close Oct 14, 2026</t>
  </si>
  <si>
    <t xml:space="preserve">Yahoo Finance close, as supplied (Google Finance prior close $391.46 agrees). Same date as the Treasury yield → one consistent valuation date</t>
  </si>
  <si>
    <t xml:space="preserve">As-converted class A shares outstanding (millions)</t>
  </si>
  <si>
    <t xml:space="preserve">Q3 FY26 Form 10-Q, Note 11 Stockholders' Equity, as-converted table at Jun 30, 2026: class A 1,702 + B-1 3 + B-2 1 + B-3 91 + C 73 + preferred A/B/C 10 = 1,880 — https://www.sec.gov/Archives/edgar/data/1403161/000140316126000104/R20.htm</t>
  </si>
  <si>
    <t xml:space="preserve">Market capitalisation</t>
  </si>
  <si>
    <t xml:space="preserve">Formula: Price × as-converted shares</t>
  </si>
  <si>
    <t xml:space="preserve">Total debt (Jun 30, 2026)</t>
  </si>
  <si>
    <t xml:space="preserve">Q3 FY26 release: current maturities $2,996M + long-term $20,862M · book value as proxy for market value</t>
  </si>
  <si>
    <t xml:space="preserve">Memo: effective interest rate on existing debt</t>
  </si>
  <si>
    <t xml:space="preserve">Formula: annualised 9M interest / debt · legacy coupons (2.0–3.9%) are below today's market cost</t>
  </si>
  <si>
    <t xml:space="preserve">Equity weight</t>
  </si>
  <si>
    <t xml:space="preserve">Formula: E / (D + E)</t>
  </si>
  <si>
    <t xml:space="preserve">Debt weight</t>
  </si>
  <si>
    <t xml:space="preserve">Formula: 1 – equity weight</t>
  </si>
  <si>
    <t xml:space="preserve">WACC</t>
  </si>
  <si>
    <t xml:space="preserve">Formula: E-weight × Ke + D-weight × Kd(after-tax)</t>
  </si>
  <si>
    <t xml:space="preserve">Memo: implied credit spread (bond yield – Rf)</t>
  </si>
  <si>
    <t xml:space="preserve">About 0.2%: tight but plausible for an AA- issuer with ~9 years to maturity</t>
  </si>
  <si>
    <t xml:space="preserve">Memo: Damodaran implied ERP (Oct 1, 2026)</t>
  </si>
  <si>
    <t xml:space="preserve">Damodaran Online home page: trailing-12-month, adjusted payout; prior month 4.14% — https://pages.stern.nyu.edu/~adamodar/New_Home_Page/home.htm</t>
  </si>
  <si>
    <t xml:space="preserve">Memo: WACC at Damodaran implied ERP</t>
  </si>
  <si>
    <t xml:space="preserve">Formula: same WACC with the market-implied ERP — the 'less conservative' case</t>
  </si>
  <si>
    <t xml:space="preserve">ROIC — including goodwill (return on everything shareholders paid, incl. Visa Europe)</t>
  </si>
  <si>
    <t xml:space="preserve">EBIT ex-litigation</t>
  </si>
  <si>
    <t xml:space="preserve">Link: Tab 2</t>
  </si>
  <si>
    <t xml:space="preserve">Normalised tax rate</t>
  </si>
  <si>
    <t xml:space="preserve">Link: Tab 2 (FY21 normalised to 17.0%)</t>
  </si>
  <si>
    <t xml:space="preserve">NOPAT</t>
  </si>
  <si>
    <t xml:space="preserve">Formula: EBIT × (1 – tax rate)</t>
  </si>
  <si>
    <t xml:space="preserve">Invested capital — ending</t>
  </si>
  <si>
    <t xml:space="preserve">Link: Tab 2 (Debt + Equity – Cash)</t>
  </si>
  <si>
    <t xml:space="preserve">Invested capital — average</t>
  </si>
  <si>
    <t xml:space="preserve">Link: Tab 2 · FY21 blank (needs FY20 balance sheet)</t>
  </si>
  <si>
    <t xml:space="preserve">ROIC — on ending capital</t>
  </si>
  <si>
    <t xml:space="preserve">Formula: NOPAT / ending invested capital</t>
  </si>
  <si>
    <t xml:space="preserve">ROIC — on average capital (primary)</t>
  </si>
  <si>
    <t xml:space="preserve">Formula: NOPAT / average invested capital · preferred: matches a full year of profit to the capital employed through the year</t>
  </si>
  <si>
    <t xml:space="preserve">Memo: ROIC on GAAP EBIT (litigation left in)</t>
  </si>
  <si>
    <t xml:space="preserve">Shows the litigation drag on reported returns</t>
  </si>
  <si>
    <t xml:space="preserve">Operating ROIC — excluding goodwill (return on the operating network)</t>
  </si>
  <si>
    <t xml:space="preserve">Invested capital ex-goodwill — ending</t>
  </si>
  <si>
    <t xml:space="preserve">Link: Tab 2 (Invested capital – Goodwill)</t>
  </si>
  <si>
    <t xml:space="preserve">Invested capital ex-goodwill — average</t>
  </si>
  <si>
    <t xml:space="preserve">Operating ROIC — on average capital</t>
  </si>
  <si>
    <t xml:space="preserve">Formula: NOPAT / average invested capital ex-goodwill</t>
  </si>
  <si>
    <t xml:space="preserve">Negative every year → ROIC on tangible capital is not meaningful (see note 1)</t>
  </si>
  <si>
    <t xml:space="preserve">The economic spread &amp; value creation</t>
  </si>
  <si>
    <t xml:space="preserve">WACC (today's, applied to all years)</t>
  </si>
  <si>
    <t xml:space="preserve">Link: WACC cell above (see note 2)</t>
  </si>
  <si>
    <t xml:space="preserve">ROIC spread</t>
  </si>
  <si>
    <t xml:space="preserve">Formula: ROIC (average capital) – WACC</t>
  </si>
  <si>
    <t xml:space="preserve">Operating ROIC spread</t>
  </si>
  <si>
    <t xml:space="preserve">Formula: Operating ROIC – WACC</t>
  </si>
  <si>
    <t xml:space="preserve">Economic profit ($mm)</t>
  </si>
  <si>
    <t xml:space="preserve">Formula: NOPAT – WACC × average invested capital  (= spread × capital)</t>
  </si>
  <si>
    <t xml:space="preserve">Capital charge ($mm)</t>
  </si>
  <si>
    <t xml:space="preserve">Formula: WACC × average invested capital — the 'rent' on investors' money</t>
  </si>
  <si>
    <t xml:space="preserve">Economic profit as % of NOPAT</t>
  </si>
  <si>
    <t xml:space="preserve">Share of after-tax operating profit that is pure value creation</t>
  </si>
  <si>
    <t xml:space="preserve">WACC sensitivity — beta (rows) × equity risk premium (columns); capital weights and Kd held constant</t>
  </si>
  <si>
    <t xml:space="preserve">Beta  \  ERP</t>
  </si>
  <si>
    <t xml:space="preserve">Beta used in CAPM (after any Blume adjustment): 0.59 = low · 0.77 · 0.85 ≈ base · 0.95 · 1.10 = stress</t>
  </si>
  <si>
    <t xml:space="preserve">Even the stress case (≈11.6%) leaves FY25 ROIC (51.6%) about 40 points above WACC.</t>
  </si>
  <si>
    <t xml:space="preserve">FY25 economic profit sensitivity ($mm) — same axes · = FY25 NOPAT – WACC × FY25 average invested capital</t>
  </si>
  <si>
    <t xml:space="preserve">Formula: NOPAT – (WACC from the grid above) × average invested capital. Live: updates with every input.</t>
  </si>
  <si>
    <t xml:space="preserve">Range ≈ $17.1B–$18.8B, i.e. 78–86% of FY25 NOPAT ($22.0B) is value created after the capital charge in every case.</t>
  </si>
  <si>
    <t xml:space="preserve">1. Tangible invested capital is negative in every year (FY25: –$4.4B): the operating network is funded by operating liabilities (client-incentive accruals, settlement obligations, deferred taxes), not shareholder capital. The return on tangible capital is therefore not meaningful — more precisely, Visa needs no net tangible capital to grow. Operating ROIC excludes goodwill only.</t>
  </si>
  <si>
    <t xml:space="preserve">2. WACC uses today's market inputs (10-year yield 5.19%) for every historical year — a simplification. Rates were much lower in FY21–FY22, so historical spreads are, if anything, understated.</t>
  </si>
  <si>
    <t xml:space="preserve">3. ROIC uses EBIT ex-litigation. On GAAP EBIT, FY25 ROIC falls by ~5 points, but the spread is still above 35 points.</t>
  </si>
  <si>
    <t xml:space="preserve">5. Projections (FY26P–FY30P) link to Tab 2. ROIC keeps rising (to ~75% by FY30P) because NOPAT grows ~9–10% a year while invested capital grows only ~1–2% (acquisitions only — Visa returns ~95% of FCF). That is the toll-road mechanic in one line, but treat the outer years as an upper bound: share-based comp and any larger acquisition would add capital. Operating ROIC ex-goodwill exceeds 100% because acquisitions are booked to goodwill.</t>
  </si>
  <si>
    <t xml:space="preserve">4. Cost of debt is a marginal market rate (traded yield on Visa's 2035 notes), not Visa's ~3% effective rate on legacy low-coupon notes. Debt is ~3% of capital, so this choice moves WACC by only a few basis points.</t>
  </si>
  <si>
    <t xml:space="preserve">Tab 4 — Capital Allocation Tracker</t>
  </si>
  <si>
    <t xml:space="preserve">Cash generated</t>
  </si>
  <si>
    <t xml:space="preserve">Free cash flow generated</t>
  </si>
  <si>
    <t xml:space="preserve">Capital returned to shareholders</t>
  </si>
  <si>
    <t xml:space="preserve">Less: Dividends paid</t>
  </si>
  <si>
    <t xml:space="preserve">Hist: cash flow statement · Proj: Net income × payout ratio</t>
  </si>
  <si>
    <t xml:space="preserve">Less: Share repurchases (buybacks)</t>
  </si>
  <si>
    <t xml:space="preserve">Hist: cash flow statement · Proj: FCF × return ratio – dividends</t>
  </si>
  <si>
    <t xml:space="preserve">Total capital returned to shareholders</t>
  </si>
  <si>
    <t xml:space="preserve">Formula: Dividends + Buybacks</t>
  </si>
  <si>
    <t xml:space="preserve">Net cash retained</t>
  </si>
  <si>
    <t xml:space="preserve">Formula: FCF – Dividends – Buybacks</t>
  </si>
  <si>
    <t xml:space="preserve">Capital returned as % of FCF</t>
  </si>
  <si>
    <t xml:space="preserve">FY26P 120%: 9M FY26 returns $20.3B vs FCF $15.2B (134%) · FY27P+ 95% (FY21–25 avg 93%)</t>
  </si>
  <si>
    <t xml:space="preserve">Cumulative capital returned as % of FCF</t>
  </si>
  <si>
    <t xml:space="preserve">FY25 column: FY21–FY25 · FY30P column: FY26P–FY30P</t>
  </si>
  <si>
    <t xml:space="preserve">Buybacks as % of capital returned</t>
  </si>
  <si>
    <t xml:space="preserve">Memo: net change in total debt</t>
  </si>
  <si>
    <t xml:space="preserve">Dividends</t>
  </si>
  <si>
    <t xml:space="preserve">Quarterly dividend rate</t>
  </si>
  <si>
    <t xml:space="preserve">Hist: rate declared for the fiscal year · Proj: implied (DPS / 4). FY26 actual rate is $0.67</t>
  </si>
  <si>
    <t xml:space="preserve">Annual dividend per share</t>
  </si>
  <si>
    <t xml:space="preserve">Hist: quarterly rate × 4 · Proj: dividends / average shares</t>
  </si>
  <si>
    <t xml:space="preserve">Dividend growth rate (per share)</t>
  </si>
  <si>
    <t xml:space="preserve">Dividend CAGR</t>
  </si>
  <si>
    <t xml:space="preserve">FY25 column: FY21–FY25 · FY30P column: FY25–FY30P</t>
  </si>
  <si>
    <t xml:space="preserve">Dividend payout ratio</t>
  </si>
  <si>
    <t xml:space="preserve">Proj input: FY21–25 range 21.4–23.1% · FY26P 21.5% (FY26 rate $0.67 × 4 × ~1.9B shares ≈ $5.1B)</t>
  </si>
  <si>
    <t xml:space="preserve">Buybacks &amp; share count</t>
  </si>
  <si>
    <t xml:space="preserve">As-converted shares outstanding at FY-end (millions)</t>
  </si>
  <si>
    <t xml:space="preserve">Proj: prior – buybacks / share price (ignores escrow conversion-rate cuts and dilution)</t>
  </si>
  <si>
    <t xml:space="preserve">Change in share count</t>
  </si>
  <si>
    <t xml:space="preserve">Cumulative share count reduction</t>
  </si>
  <si>
    <t xml:space="preserve">Buybacks as % of net income</t>
  </si>
  <si>
    <t xml:space="preserve">Shareholder yield (at fiscal year-end market value)</t>
  </si>
  <si>
    <t xml:space="preserve">P/E at FY-end</t>
  </si>
  <si>
    <t xml:space="preserve">Proj input: 30x (FY21–25 range 25–39x; FY25 32.8x) · sets the buyback price, not a valuation call</t>
  </si>
  <si>
    <t xml:space="preserve">Share price at FY-end</t>
  </si>
  <si>
    <t xml:space="preserve">Hist: Yahoo Close (verified) · Proj: P/E × net income / opening shares</t>
  </si>
  <si>
    <t xml:space="preserve">Total market capitalisation</t>
  </si>
  <si>
    <t xml:space="preserve">Formula: FY-end price × as-converted shares</t>
  </si>
  <si>
    <t xml:space="preserve">Dividend yield (cash paid)</t>
  </si>
  <si>
    <t xml:space="preserve">Buyback yield</t>
  </si>
  <si>
    <t xml:space="preserve">Shareholder yield</t>
  </si>
  <si>
    <t xml:space="preserve">Formula: Total capital returned / Total market capitalisation</t>
  </si>
  <si>
    <t xml:space="preserve">FCF yield</t>
  </si>
  <si>
    <t xml:space="preserve">1. Over FY21–FY25 Visa returned ~93% of its FCF to shareholders, ~78% of it through buybacks, while CapEx stayed at ~3–4% of revenue. Nothing is hoarded and no large projects absorb the cash.</t>
  </si>
  <si>
    <t xml:space="preserve">2. Part of the fall in as-converted shares is not buybacks: each U.S. litigation-escrow deposit cuts the class B → A conversion rate, retiring as-converted shares at the legacy bank holders' expense.</t>
  </si>
  <si>
    <t xml:space="preserve">3. In FY24 and FY25 Visa returned more than it generated (112% and 106% of FCF): FY24 funded by drawing down cash, FY25 by ~$4.3B of new debt. FY26 is running even higher (9M: 134%). The base case returns to 95% from FY27P.</t>
  </si>
  <si>
    <t xml:space="preserve">4. Payout ratio uses GAAP net income; litigation provisions depress net income and lift the ratio slightly.</t>
  </si>
  <si>
    <t xml:space="preserve">5. Projected share price = P/E assumption × net income / opening shares. It only sets how many shares buybacks retire — it is not a price target.</t>
  </si>
  <si>
    <t xml:space="preserve">Tab 5 — Peer Spread: Visa vs Mastercard</t>
  </si>
  <si>
    <t xml:space="preserve">Mastercard rebuilt with the SAME definitions as Tabs 1–4 · $ in millions · MA fiscal year = calendar year (3-month offset to Visa) · green = link · black = formula</t>
  </si>
  <si>
    <t xml:space="preserve">Mastercard — line item</t>
  </si>
  <si>
    <t xml:space="preserve">Volume &amp; revenue</t>
  </si>
  <si>
    <t xml:space="preserve">Purchase volume ($ billions)</t>
  </si>
  <si>
    <t xml:space="preserve">Comparable to Visa payments volume (both exclude cash)</t>
  </si>
  <si>
    <t xml:space="preserve">Net revenue</t>
  </si>
  <si>
    <t xml:space="preserve">Take rate (bps of purchase volume)</t>
  </si>
  <si>
    <t xml:space="preserve">Formula: Net revenue / purchase volume · same construction as Visa's core take rate</t>
  </si>
  <si>
    <t xml:space="preserve">Profitability</t>
  </si>
  <si>
    <t xml:space="preserve">Operating margin — GAAP</t>
  </si>
  <si>
    <t xml:space="preserve">Add back: Provision for litigation</t>
  </si>
  <si>
    <t xml:space="preserve">Same treatment as Visa (Tab 2)</t>
  </si>
  <si>
    <t xml:space="preserve">Operating margin — ex-litigation</t>
  </si>
  <si>
    <t xml:space="preserve">Tax rate — GAAP effective</t>
  </si>
  <si>
    <t xml:space="preserve">FY25 19.4% vs 15.6% in FY24 (4Q25 release)</t>
  </si>
  <si>
    <t xml:space="preserve">Net margin</t>
  </si>
  <si>
    <t xml:space="preserve">Returns on capital</t>
  </si>
  <si>
    <t xml:space="preserve">Formula: EBIT ex-litigation × (1 – tax rate)</t>
  </si>
  <si>
    <t xml:space="preserve">Total debt</t>
  </si>
  <si>
    <t xml:space="preserve">Total equity</t>
  </si>
  <si>
    <t xml:space="preserve">Cash + investments deducted</t>
  </si>
  <si>
    <t xml:space="preserve">Restricted litigation cash not deducted (as for Visa's escrow)</t>
  </si>
  <si>
    <t xml:space="preserve">Formula: Debt + Equity – Cash (Tab 2 definition)</t>
  </si>
  <si>
    <t xml:space="preserve">ROIC — on average capital</t>
  </si>
  <si>
    <t xml:space="preserve">Other intangible assets, net</t>
  </si>
  <si>
    <t xml:space="preserve">Operating ROIC — ex-goodwill (average)</t>
  </si>
  <si>
    <t xml:space="preserve">Memo: Tangible invested capital</t>
  </si>
  <si>
    <t xml:space="preserve">Small but positive for MA; negative for Visa</t>
  </si>
  <si>
    <t xml:space="preserve">Cash flow &amp; capital allocation</t>
  </si>
  <si>
    <t xml:space="preserve">CapEx (PP&amp;E + capitalized software)</t>
  </si>
  <si>
    <t xml:space="preserve">Both lines, to match Visa's 'property, equipment and technology'</t>
  </si>
  <si>
    <t xml:space="preserve">Free cash flow</t>
  </si>
  <si>
    <t xml:space="preserve">Formula: OCF – CapEx</t>
  </si>
  <si>
    <t xml:space="preserve">FCF conversion (FCF / net income)</t>
  </si>
  <si>
    <t xml:space="preserve">Capital intensity (CapEx / net revenue)</t>
  </si>
  <si>
    <t xml:space="preserve">Capital returned (dividends + buybacks)</t>
  </si>
  <si>
    <t xml:space="preserve">Acquisitions (cash)</t>
  </si>
  <si>
    <t xml:space="preserve">Lumpy: FY21 $4.4B and FY24 $2.5B (e.g. Recorded Future)</t>
  </si>
  <si>
    <t xml:space="preserve">Mastercard WACC (same market inputs as Tab 3)</t>
  </si>
  <si>
    <t xml:space="preserve">Risk-free rate</t>
  </si>
  <si>
    <t xml:space="preserve">Link: Tab 3</t>
  </si>
  <si>
    <t xml:space="preserve">Raw beta</t>
  </si>
  <si>
    <t xml:space="preserve">Data_MA (placeholder)</t>
  </si>
  <si>
    <t xml:space="preserve">Adjusted beta</t>
  </si>
  <si>
    <t xml:space="preserve">Blume-adjusted, as for Visa</t>
  </si>
  <si>
    <t xml:space="preserve">Cost of equity</t>
  </si>
  <si>
    <t xml:space="preserve">Rf + β × ERP</t>
  </si>
  <si>
    <t xml:space="preserve">After-tax cost of debt</t>
  </si>
  <si>
    <t xml:space="preserve">Assumes MA borrows at Visa's market yield (both high-grade); × (1 – MA FY25 tax rate)</t>
  </si>
  <si>
    <t xml:space="preserve">Price × shares (Data_MA)</t>
  </si>
  <si>
    <t xml:space="preserve">Data_MA</t>
  </si>
  <si>
    <t xml:space="preserve">Mastercard WACC</t>
  </si>
  <si>
    <t xml:space="preserve">Formula: E-weight × Ke + D-weight × Kd</t>
  </si>
  <si>
    <t xml:space="preserve">FY25 head-to-head</t>
  </si>
  <si>
    <t xml:space="preserve">Visa</t>
  </si>
  <si>
    <t xml:space="preserve">Mastercard</t>
  </si>
  <si>
    <t xml:space="preserve">Visa – MA</t>
  </si>
  <si>
    <t xml:space="preserve">Why the difference matters</t>
  </si>
  <si>
    <t xml:space="preserve">Net revenue ($mm)</t>
  </si>
  <si>
    <t xml:space="preserve">Visa is ~1.2x Mastercard's revenue</t>
  </si>
  <si>
    <t xml:space="preserve">Net revenue CAGR FY21–FY25</t>
  </si>
  <si>
    <t xml:space="preserve">MA grew faster, helped by value-added services and cross-border recovery</t>
  </si>
  <si>
    <t xml:space="preserve">Volume ($ billions): Visa payments vs MA purchase</t>
  </si>
  <si>
    <t xml:space="preserve">Visa's network is ~1.6x larger by volume</t>
  </si>
  <si>
    <t xml:space="preserve">Take rate (bps)</t>
  </si>
  <si>
    <t xml:space="preserve">MA earns MORE per dollar: higher value-added-services mix and more cross-border; Visa's scale is in debit</t>
  </si>
  <si>
    <t xml:space="preserve">Visa is ~7 pts more profitable per revenue dollar — scale economics of the larger network</t>
  </si>
  <si>
    <t xml:space="preserve">Invested capital ($mm)</t>
  </si>
  <si>
    <t xml:space="preserve">Visa carries ~2.7x the capital — mostly Visa Europe goodwill &amp; intangibles</t>
  </si>
  <si>
    <t xml:space="preserve">Goodwill + intangibles ($mm)</t>
  </si>
  <si>
    <t xml:space="preserve">$47.5B vs $15.1B: the 2016 Visa Europe acquisition (~$23B) is the single biggest gap</t>
  </si>
  <si>
    <t xml:space="preserve">ROIC — average capital</t>
  </si>
  <si>
    <t xml:space="preserve">MA's ROIC is ~2x Visa's. The gap is goodwill &amp; intangibles ($47.5B vs $15.1B). Debt-funded buybacks do NOT explain it: they swap equity for debt, leaving debt + equity – cash unchanged</t>
  </si>
  <si>
    <t xml:space="preserve">Operating ROIC — ex-goodwill</t>
  </si>
  <si>
    <t xml:space="preserve">Both are effectively capital-free networks once acquisition goodwill is removed</t>
  </si>
  <si>
    <t xml:space="preserve">Tangible invested capital ($mm)</t>
  </si>
  <si>
    <t xml:space="preserve">Both near zero or negative — neither network needs net tangible capital</t>
  </si>
  <si>
    <t xml:space="preserve">Near-identical: same market inputs and almost the same beta (0.77 vs 0.76)</t>
  </si>
  <si>
    <t xml:space="preserve">ROIC – WACC spread</t>
  </si>
  <si>
    <t xml:space="preserve">Both spreads are enormous; the gap is about capital base, not moat quality</t>
  </si>
  <si>
    <t xml:space="preserve">Visa still creates MORE absolute value: bigger profit pool outweighs its larger capital charge</t>
  </si>
  <si>
    <t xml:space="preserve">FCF conversion</t>
  </si>
  <si>
    <t xml:space="preserve">Capital intensity</t>
  </si>
  <si>
    <t xml:space="preserve">Both under 4% of revenue</t>
  </si>
  <si>
    <t xml:space="preserve">Capital returned, % of FCF (FY21–25 cumulative)</t>
  </si>
  <si>
    <t xml:space="preserve">Both return ~all FCF; MA's equity is only ~$7.7B because buybacks have run ahead of retained earnings for years</t>
  </si>
  <si>
    <t xml:space="preserve">Similar ~20% dividend policies; buybacks do the rest</t>
  </si>
  <si>
    <t xml:space="preserve">Market cap today ($mm)</t>
  </si>
  <si>
    <t xml:space="preserve">Both at the Oct 14, 2026 close</t>
  </si>
  <si>
    <t xml:space="preserve">P/E on FY25 net income</t>
  </si>
  <si>
    <t xml:space="preserve">The market prices the two almost identically despite MA's 2x ROIC — consistent with the ROIC gap being acquisition accounting, not economics. (MA FY25 = calendar 2025, 3 months more recent)</t>
  </si>
  <si>
    <t xml:space="preserve">1. Same definitions as Visa: EBIT ex-litigation, GAAP effective tax, invested capital = debt + equity – (cash + investments), restricted litigation cash not deducted, CapEx includes capitalised software.</t>
  </si>
  <si>
    <t xml:space="preserve">2. Timing: Mastercard FY25 = calendar 2025; Visa FY25 = Oct 2024–Sep 2025. A 3-month offset — fine for a ratio comparison, but note it if asked.</t>
  </si>
  <si>
    <t xml:space="preserve">3. The headline: Mastercard's ROIC is roughly double Visa's, but this is an acquisition-accounting story, not a moat-quality story. (Careful: ROIC including goodwill is still the right measure of the return on the ~$23B Visa actually paid for Visa Europe — the goodwill is real money, not an artifact.) Visa is more profitable per revenue dollar and generates more economic profit in absolute dollars; its ROIC is diluted by ~$47B of Visa Europe goodwill and intangibles. Strip goodwill out and both networks need essentially no tangible capital.</t>
  </si>
  <si>
    <t xml:space="preserve">4. Mastercard's low equity (~$7.7B) reflects years of debt-funded buybacks — it inflates ROE far more than ROIC, which is why ROIC (debt + equity) is the fairer comparison.</t>
  </si>
  <si>
    <t xml:space="preserve">5. Mastercard's beta (0.76) is a third-party Yahoo figure, as is Visa's. It affects only MA's WACC, not the ROIC comparison.</t>
  </si>
  <si>
    <t xml:space="preserve">Visa Inc. (NYSE: V) — Historical Database, FY21–FY25</t>
  </si>
  <si>
    <t xml:space="preserve">$ in millions unless noted · Fiscal year ends September 30 · Single source of truth: Tabs 1–4 link here, no hardcodes elsewhere</t>
  </si>
  <si>
    <t xml:space="preserve">Legend: blue = hardcoded from filings · black = formula · yellow = verify before final · outflows / contra-revenue stored as positive amounts (labelled 'Less:')</t>
  </si>
  <si>
    <t xml:space="preserve">Unit</t>
  </si>
  <si>
    <t xml:space="preserve">Source</t>
  </si>
  <si>
    <t xml:space="preserve">Operational volume</t>
  </si>
  <si>
    <t xml:space="preserve">Payments volume</t>
  </si>
  <si>
    <t xml:space="preserve">$ billions</t>
  </si>
  <si>
    <t xml:space="preserve">FY23–25: Visa FY2025 Annual Report, key statistics: https://annualreport.visa.com/financials | FY21–22: secondary source (FourWeekMBA), but consistent with Visa's reported nominal growth: FY22 +12% (Q4 FY22 release) and FY21 +18% (Q4 FY21 release, implying FY20 ≈ $8.8T). Cross-check against the FY22 Annual Report key statistics if available.</t>
  </si>
  <si>
    <t xml:space="preserve">Processed transactions</t>
  </si>
  <si>
    <t xml:space="preserve">billions</t>
  </si>
  <si>
    <t xml:space="preserve">FY21: Q4 FY21 release · FY22: Q4 FY22 release · FY23–25: FY25 Annual Report key statistics</t>
  </si>
  <si>
    <t xml:space="preserve">Revenue ($ millions)</t>
  </si>
  <si>
    <t xml:space="preserve">Service revenue</t>
  </si>
  <si>
    <t xml:space="preserve">$mm</t>
  </si>
  <si>
    <t xml:space="preserve">FY21: Q4 FY2021 earnings release (8-K Ex. 99.1): https://www.sec.gov/Archives/edgar/data/1403161/000140316121000056/q42021earningsrelease.htm · FY22–24: FY2024 10-K XBRL revenue note (R34): https://www.sec.gov/Archives/edgar/data/1403161/000140316124000058/R34.htm · FY25: Q4 FY2025 earnings release (8-K Ex. 99.1): https://www.sec.gov/Archives/edgar/data/1403161/000140316125000077/q42025earningsrelease.htm</t>
  </si>
  <si>
    <t xml:space="preserve">Data processing revenue</t>
  </si>
  <si>
    <t xml:space="preserve">Same as service revenue</t>
  </si>
  <si>
    <t xml:space="preserve">International transaction revenue</t>
  </si>
  <si>
    <t xml:space="preserve">Other revenue</t>
  </si>
  <si>
    <t xml:space="preserve">Same as service revenue; FY21–25 also tie to 5-yr XBRL extract of 10-K filings (edgar.tools): https://app.edgar.tools/companies/V</t>
  </si>
  <si>
    <t xml:space="preserve">Net revenue (as reported)</t>
  </si>
  <si>
    <t xml:space="preserve">5-yr XBRL extract of 10-K filings (edgar.tools): https://app.edgar.tools/companies/V</t>
  </si>
  <si>
    <t xml:space="preserve">Operating expenses ($ millions)</t>
  </si>
  <si>
    <t xml:space="preserve">Personnel</t>
  </si>
  <si>
    <t xml:space="preserve">5-yr XBRL extract of 10-K filings (edgar.tools): https://app.edgar.tools/companies/V · FY23–25 also Visa FY2025 Form 10-K (filed 2025-11-06): https://www.sec.gov/Archives/edgar/data/1403161/000140316125000089/v-20250930.htm</t>
  </si>
  <si>
    <t xml:space="preserve">Marketing</t>
  </si>
  <si>
    <t xml:space="preserve">Network and processing</t>
  </si>
  <si>
    <t xml:space="preserve">Professional fees</t>
  </si>
  <si>
    <t xml:space="preserve">Depreciation and amortization</t>
  </si>
  <si>
    <t xml:space="preserve">General and administrative</t>
  </si>
  <si>
    <t xml:space="preserve">Total operating expenses (as reported)</t>
  </si>
  <si>
    <t xml:space="preserve">Memo: Visa non-GAAP operating expenses</t>
  </si>
  <si>
    <t xml:space="preserve">FY21: Q4 FY21 release · FY22: Q4 FY22 release · FY23–25: Visa FY2025 Annual Report, key statistics: https://annualreport.visa.com/financials</t>
  </si>
  <si>
    <t xml:space="preserve">Income statement ($ millions)</t>
  </si>
  <si>
    <t xml:space="preserve">Operating income (as reported)</t>
  </si>
  <si>
    <t xml:space="preserve">Interest expense</t>
  </si>
  <si>
    <t xml:space="preserve">FY21: Q4 FY21 release · FY22–25: 5-yr XBRL extract of 10-K filings (edgar.tools): https://app.edgar.tools/companies/V</t>
  </si>
  <si>
    <t xml:space="preserve">Total non-operating income (expense)</t>
  </si>
  <si>
    <t xml:space="preserve">Income before income taxes</t>
  </si>
  <si>
    <t xml:space="preserve">Balance sheet at Sep 30 ($ millions)</t>
  </si>
  <si>
    <t xml:space="preserve">Cash and cash equivalents</t>
  </si>
  <si>
    <t xml:space="preserve">5-yr XBRL extract of 10-K filings (edgar.tools): https://app.edgar.tools/companies/V · FY24–25 also Q4 FY2025 earnings release (8-K Ex. 99.1): https://www.sec.gov/Archives/edgar/data/1403161/000140316125000077/q42025earningsrelease.htm</t>
  </si>
  <si>
    <t xml:space="preserve">Restricted cash equivalents — U.S. litigation escrow</t>
  </si>
  <si>
    <t xml:space="preserve">Investment securities — current</t>
  </si>
  <si>
    <t xml:space="preserve">Investment securities — non-current</t>
  </si>
  <si>
    <t xml:space="preserve">Current maturities of debt</t>
  </si>
  <si>
    <t xml:space="preserve">Long-term debt</t>
  </si>
  <si>
    <t xml:space="preserve">Accrued litigation</t>
  </si>
  <si>
    <t xml:space="preserve">Total assets</t>
  </si>
  <si>
    <t xml:space="preserve">Cash flow &amp; capital returns ($ millions)</t>
  </si>
  <si>
    <t xml:space="preserve">Net cash from operating activities</t>
  </si>
  <si>
    <t xml:space="preserve">Less: Purchases of property, equipment &amp; technology</t>
  </si>
  <si>
    <t xml:space="preserve">Less: Repurchases of class A common stock</t>
  </si>
  <si>
    <t xml:space="preserve">FY21–22: Visa FY2022 Form 10-K: https://www.sec.gov/Archives/edgar/data/1403161/000140316122000081/v-20220930.htm · FY23–25: 5-yr XBRL extract of 10-K filings (edgar.tools): https://app.edgar.tools/companies/V</t>
  </si>
  <si>
    <t xml:space="preserve">Integrity checks (should all be 0)</t>
  </si>
  <si>
    <t xml:space="preserve">Revenue components − client incentives − net revenue</t>
  </si>
  <si>
    <t xml:space="preserve">Opex lines − total opex</t>
  </si>
  <si>
    <t xml:space="preserve">Net revenue − opex − operating income</t>
  </si>
  <si>
    <t xml:space="preserve">Operating income + non-op − pre-tax income</t>
  </si>
  <si>
    <t xml:space="preserve">Pre-tax income − tax − net income</t>
  </si>
  <si>
    <t xml:space="preserve">Total errors (sum of absolute differences)</t>
  </si>
  <si>
    <t xml:space="preserve">Footnotes</t>
  </si>
  <si>
    <t xml:space="preserve">1. Payments volume is reported for the 12 months ended Sep 30, matching the fiscal year. The timing lag sits in revenue: Visa recognises service revenue on the PRIOR quarter's payments volume, so the take rate (net revenue ÷ payments volume) mixes ~one quarter of offset. Disclose in Tab 1.</t>
  </si>
  <si>
    <t xml:space="preserve">2. Litigation: most of the provision relates to U.S. covered litigation, funded via the escrow under the retrospective responsibility plan — deposits reduce the class B→A conversion rate, so legacy class B holders bear much of the cost. Basis for the 'EBIT ex-litigation' row in Tab 2.</t>
  </si>
  <si>
    <t xml:space="preserve">3. FY25 debt rose because of new issuance; $5,569M is current (due within 12 months).</t>
  </si>
  <si>
    <t xml:space="preserve">4. Values are as reported in each year's latest filing; no restatements applied. FY22 revenue components use the FY24 10-K presentation.</t>
  </si>
  <si>
    <t xml:space="preserve">Market data at fiscal year-end</t>
  </si>
  <si>
    <t xml:space="preserve">Share price at FY-end close (unadjusted)</t>
  </si>
  <si>
    <t xml:space="preserve">$ / share</t>
  </si>
  <si>
    <t xml:space="preserve">Yahoo Finance daily history, Close column (unadjusted), all five years verified Oct 15, 2026: Sep 30 2021 · Sep 30 2022 · Sep 29 2023 (Sep 30 was a Saturday) · Sep 30 2024 · Sep 30 2025 — https://finance.yahoo.com/quote/V/history/</t>
  </si>
  <si>
    <t xml:space="preserve">As-converted class A shares outstanding at FY-end</t>
  </si>
  <si>
    <t xml:space="preserve">millions</t>
  </si>
  <si>
    <t xml:space="preserve">10-K Stockholders' Equity note, as-converted table (all classes and preferred series): FY21–22 FY22 10-K R91 https://www.sec.gov/Archives/edgar/data/1403161/000140316122000081/R91.htm · FY23–24 FY24 10-K R83 https://www.sec.gov/Archives/edgar/data/1403161/000140316124000058/R83.htm · FY25 FY25 10-K R84 https://www.sec.gov/Archives/edgar/data/1403161/000140316125000089/R84.htm</t>
  </si>
  <si>
    <t xml:space="preserve">Quarterly dividend rate declared during the fiscal year</t>
  </si>
  <si>
    <t xml:space="preserve">FY21 $0.32: FY21 10-K equity note · FY22 $0.375: declared Oct 22, 2021 (FY21 10-K) · FY23 $0.45: declared Oct 21, 2022 (FY22 10-K) · FY24 $0.52: Oct 2023 (FY23 10-K R85) · FY25 $0.59: Oct 2024 (FY24 10-K R84) · FY26 rate is $0.67 (FY25 10-K R85)</t>
  </si>
  <si>
    <t xml:space="preserve">Mastercard Inc. (NYSE: MA) — Peer Database, FY21–FY25</t>
  </si>
  <si>
    <t xml:space="preserve">$ in millions unless noted · Mastercard's fiscal year ends DECEMBER 31 (Visa: September 30) — FY25 = calendar 2025, a 3-month offset</t>
  </si>
  <si>
    <t xml:space="preserve">Legend: blue = hardcoded from filings · black = formula · yellow = placeholder / verify · outflows stored as positive amounts</t>
  </si>
  <si>
    <t xml:space="preserve">Gross dollar volume (GDV)</t>
  </si>
  <si>
    <t xml:space="preserve">FY21: 4Q22 release: https://s25.q4cdn.com/479285134/files/doc_financials/2022/q4/4Q22-Mastercard-Earnings-Release.pdf · FY22–23: 4Q23 release: https://s25.q4cdn.com/479285134/files/doc_financials/2023/q4/4Q23-Mastercard-Earnings-Release.pdf (FY22 restated 8,177→8,180) · FY24–25: Mastercard 4Q25 earnings release: https://s25.q4cdn.com/479285134/files/doc_financials/2025/q4/4Q25-Mastercard-Earnings-Release.pdf</t>
  </si>
  <si>
    <t xml:space="preserve">Purchase volume (excl. cash — comparable to Visa payments volume)</t>
  </si>
  <si>
    <t xml:space="preserve">Same sources as GDV</t>
  </si>
  <si>
    <t xml:space="preserve">Income statement</t>
  </si>
  <si>
    <t xml:space="preserve">Mastercard FY2025 10-K / 5-yr XBRL extract (edgar.tools): https://app.edgar.tools/companies/MA</t>
  </si>
  <si>
    <t xml:space="preserve">Total operating expenses</t>
  </si>
  <si>
    <t xml:space="preserve">Provision for litigation</t>
  </si>
  <si>
    <t xml:space="preserve">Mastercard FY2025 10-K / 5-yr XBRL extract (edgar.tools): https://app.edgar.tools/companies/MA · FY24–25 confirmed in Mastercard 4Q25 earnings release: https://s25.q4cdn.com/479285134/files/doc_financials/2025/q4/4Q25-Mastercard-Earnings-Release.pdf</t>
  </si>
  <si>
    <t xml:space="preserve">Operating income</t>
  </si>
  <si>
    <t xml:space="preserve">Income tax expense</t>
  </si>
  <si>
    <t xml:space="preserve">Mastercard FY2025 10-K / 5-yr XBRL extract (edgar.tools): https://app.edgar.tools/companies/MA · FY21 not shown in extract: = net income + tax</t>
  </si>
  <si>
    <t xml:space="preserve">Balance sheet at Dec 31</t>
  </si>
  <si>
    <t xml:space="preserve">Restricted cash (mainly litigation settlement) — not deducted</t>
  </si>
  <si>
    <t xml:space="preserve">Investments</t>
  </si>
  <si>
    <t xml:space="preserve">Short-term debt</t>
  </si>
  <si>
    <t xml:space="preserve">Total equity (incl. non-controlling interests)</t>
  </si>
  <si>
    <t xml:space="preserve">Cash flow</t>
  </si>
  <si>
    <t xml:space="preserve">Less: Purchases of property and equipment</t>
  </si>
  <si>
    <t xml:space="preserve">Less: Capitalized software</t>
  </si>
  <si>
    <t xml:space="preserve">Acquisitions, net of cash acquired</t>
  </si>
  <si>
    <t xml:space="preserve">Less: Purchases of treasury stock (buybacks)</t>
  </si>
  <si>
    <t xml:space="preserve">Market data (current)</t>
  </si>
  <si>
    <t xml:space="preserve">Class A + Class B shares outstanding (millions)</t>
  </si>
  <si>
    <t xml:space="preserve">Mastercard Q2 2026 Form 10-Q: https://www.sec.gov/Archives/edgar/data/0001141391/000114139126000083/ma-20260630.htm — cover page Jul 27, 2026: Class A 869.46M + Class B 6.55M</t>
  </si>
  <si>
    <t xml:space="preserve">Share price ($)</t>
  </si>
  <si>
    <t xml:space="preserve">Oct 14, 2026 close, as supplied (Yahoo Finance) — consistent with your Oct 15 screenshot ($618.94, +2.60% → prior close ≈ $603.2). Same valuation date as Visa</t>
  </si>
  <si>
    <t xml:space="preserve">Raw beta (5-year monthly)</t>
  </si>
  <si>
    <t xml:space="preserve">x</t>
  </si>
  <si>
    <t xml:space="preserve">Yahoo Finance 'Beta (5Y Monthly)' 0.76, as supplied — third-party, like Visa's</t>
  </si>
  <si>
    <t xml:space="preserve">Mastercard Q2 2026 Form 10-Q: https://www.sec.gov/Archives/edgar/data/0001141391/000114139126000083/ma-20260630.htm — short-term $2,459M + long-term $22,184M</t>
  </si>
  <si>
    <t xml:space="preserve">Check: net revenue – opex – operating income (should be 0)</t>
  </si>
</sst>
</file>

<file path=xl/styles.xml><?xml version="1.0" encoding="utf-8"?>
<styleSheet xmlns="http://schemas.openxmlformats.org/spreadsheetml/2006/main">
  <numFmts count="22">
    <numFmt numFmtId="164" formatCode="General"/>
    <numFmt numFmtId="165" formatCode="#,##0;\(#,##0\);\-"/>
    <numFmt numFmtId="166" formatCode="0.0%;\(0.0%\);\-"/>
    <numFmt numFmtId="167" formatCode="#,##0.0;\(#,##0.0\);\-"/>
    <numFmt numFmtId="168" formatCode="\$#,##0.00"/>
    <numFmt numFmtId="169" formatCode="0.000%"/>
    <numFmt numFmtId="170" formatCode="0.0&quot; bps&quot;"/>
    <numFmt numFmtId="171" formatCode="\$0.000"/>
    <numFmt numFmtId="172" formatCode="0.00\x;\(0.00&quot;x)&quot;;\-"/>
    <numFmt numFmtId="173" formatCode="#,##0&quot; bps&quot;;\(#,##0&quot; bps)&quot;;\-"/>
    <numFmt numFmtId="174" formatCode="0"/>
    <numFmt numFmtId="175" formatCode="0.00%;\(0.00%\);\-"/>
    <numFmt numFmtId="176" formatCode="0.00"/>
    <numFmt numFmtId="177" formatCode="0.00&quot; β&quot;"/>
    <numFmt numFmtId="178" formatCode="0.0\x"/>
    <numFmt numFmtId="179" formatCode="#,##0;\(#,##0\);\-"/>
    <numFmt numFmtId="180" formatCode="0.0%;\(0.0%\);\-"/>
    <numFmt numFmtId="181" formatCode="\+0.0&quot; pts&quot;;\-0.0&quot; pts&quot;"/>
    <numFmt numFmtId="182" formatCode="0.0\x"/>
    <numFmt numFmtId="183" formatCode="#,##0"/>
    <numFmt numFmtId="184" formatCode="#,##0.0;\(#,##0.0\);\-"/>
    <numFmt numFmtId="185" formatCode="\$#,##0.00"/>
  </numFmts>
  <fonts count="16">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name val="Arial"/>
      <family val="0"/>
      <charset val="1"/>
    </font>
    <font>
      <b val="true"/>
      <sz val="10"/>
      <color rgb="FFFFFFFF"/>
      <name val="Arial"/>
      <family val="0"/>
      <charset val="1"/>
    </font>
    <font>
      <sz val="10"/>
      <name val="Arial"/>
      <family val="0"/>
      <charset val="1"/>
    </font>
    <font>
      <sz val="10"/>
      <color rgb="FF008000"/>
      <name val="Arial"/>
      <family val="0"/>
      <charset val="1"/>
    </font>
    <font>
      <i val="true"/>
      <sz val="10"/>
      <name val="Arial"/>
      <family val="0"/>
      <charset val="1"/>
    </font>
    <font>
      <sz val="10"/>
      <color rgb="FF0000FF"/>
      <name val="Arial"/>
      <family val="0"/>
      <charset val="1"/>
    </font>
    <font>
      <b val="true"/>
      <sz val="10"/>
      <color rgb="FF008000"/>
      <name val="Arial"/>
      <family val="0"/>
      <charset val="1"/>
    </font>
    <font>
      <b val="true"/>
      <sz val="10"/>
      <color rgb="FF0000FF"/>
      <name val="Arial"/>
      <family val="0"/>
      <charset val="1"/>
    </font>
    <font>
      <b val="true"/>
      <sz val="11"/>
      <name val="Arial"/>
      <family val="0"/>
      <charset val="1"/>
    </font>
    <font>
      <sz val="10"/>
      <name val="Arial"/>
      <family val="2"/>
    </font>
  </fonts>
  <fills count="8">
    <fill>
      <patternFill patternType="none"/>
    </fill>
    <fill>
      <patternFill patternType="gray125"/>
    </fill>
    <fill>
      <patternFill patternType="solid">
        <fgColor rgb="FF1F3864"/>
        <bgColor rgb="FF333333"/>
      </patternFill>
    </fill>
    <fill>
      <patternFill patternType="solid">
        <fgColor rgb="FF7F7F7F"/>
        <bgColor rgb="FF808080"/>
      </patternFill>
    </fill>
    <fill>
      <patternFill patternType="solid">
        <fgColor rgb="FFD9E1F2"/>
        <bgColor rgb="FFE2EFDA"/>
      </patternFill>
    </fill>
    <fill>
      <patternFill patternType="solid">
        <fgColor rgb="FFF2F2F2"/>
        <bgColor rgb="FFE2EFDA"/>
      </patternFill>
    </fill>
    <fill>
      <patternFill patternType="solid">
        <fgColor rgb="FFFFFF00"/>
        <bgColor rgb="FFFFFF00"/>
      </patternFill>
    </fill>
    <fill>
      <patternFill patternType="solid">
        <fgColor rgb="FFE2EFDA"/>
        <bgColor rgb="FFF2F2F2"/>
      </patternFill>
    </fill>
  </fills>
  <borders count="3">
    <border diagonalUp="false" diagonalDown="false">
      <left/>
      <right/>
      <top/>
      <bottom/>
      <diagonal/>
    </border>
    <border diagonalUp="false" diagonalDown="false">
      <left/>
      <right/>
      <top/>
      <bottom style="thin">
        <color rgb="FF808080"/>
      </bottom>
      <diagonal/>
    </border>
    <border diagonalUp="false" diagonalDown="false">
      <left/>
      <right/>
      <top style="thin">
        <color rgb="FF808080"/>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left"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5" fontId="9" fillId="5"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1"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6" fontId="11" fillId="6"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7" fontId="9" fillId="5" borderId="0" xfId="0" applyFont="tru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68" fontId="8" fillId="5" borderId="0" xfId="0" applyFont="true" applyBorder="false" applyAlignment="true" applyProtection="false">
      <alignment horizontal="general" vertical="bottom" textRotation="0" wrapText="false" indent="0" shrinkToFit="false"/>
      <protection locked="true" hidden="false"/>
    </xf>
    <xf numFmtId="166" fontId="8" fillId="5" borderId="0" xfId="0" applyFont="true" applyBorder="false" applyAlignment="true" applyProtection="false">
      <alignment horizontal="general" vertical="bottom" textRotation="0" wrapText="false" indent="0" shrinkToFit="false"/>
      <protection locked="true" hidden="false"/>
    </xf>
    <xf numFmtId="165" fontId="8" fillId="5"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5" fontId="6" fillId="5" borderId="0" xfId="0" applyFont="true" applyBorder="false" applyAlignment="true" applyProtection="false">
      <alignment horizontal="general" vertical="bottom" textRotation="0" wrapText="false" indent="0" shrinkToFit="false"/>
      <protection locked="true" hidden="false"/>
    </xf>
    <xf numFmtId="164" fontId="6" fillId="0" borderId="2" xfId="0" applyFont="true" applyBorder="true" applyAlignment="true" applyProtection="false">
      <alignment horizontal="general" vertical="bottom" textRotation="0" wrapText="false" indent="0" shrinkToFit="false"/>
      <protection locked="true" hidden="false"/>
    </xf>
    <xf numFmtId="165" fontId="6" fillId="0" borderId="2" xfId="0" applyFont="true" applyBorder="true" applyAlignment="true" applyProtection="false">
      <alignment horizontal="general" vertical="bottom" textRotation="0" wrapText="false" indent="0" shrinkToFit="false"/>
      <protection locked="true" hidden="false"/>
    </xf>
    <xf numFmtId="165" fontId="6" fillId="5" borderId="2" xfId="0" applyFont="true" applyBorder="tru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5" fontId="0" fillId="5" borderId="0" xfId="0" applyFont="false" applyBorder="false" applyAlignment="true" applyProtection="false">
      <alignment horizontal="general" vertical="bottom" textRotation="0" wrapText="false" indent="0" shrinkToFit="false"/>
      <protection locked="true" hidden="false"/>
    </xf>
    <xf numFmtId="169" fontId="6" fillId="0" borderId="2" xfId="0" applyFont="true" applyBorder="true" applyAlignment="true" applyProtection="false">
      <alignment horizontal="general" vertical="bottom" textRotation="0" wrapText="false" indent="0" shrinkToFit="false"/>
      <protection locked="true" hidden="false"/>
    </xf>
    <xf numFmtId="169" fontId="6" fillId="5" borderId="2" xfId="0" applyFont="true" applyBorder="true" applyAlignment="true" applyProtection="false">
      <alignment horizontal="general" vertical="bottom" textRotation="0" wrapText="false" indent="0" shrinkToFit="false"/>
      <protection locked="true" hidden="false"/>
    </xf>
    <xf numFmtId="170" fontId="8" fillId="0" borderId="0" xfId="0" applyFont="true" applyBorder="false" applyAlignment="true" applyProtection="false">
      <alignment horizontal="general" vertical="bottom" textRotation="0" wrapText="false" indent="0" shrinkToFit="false"/>
      <protection locked="true" hidden="false"/>
    </xf>
    <xf numFmtId="170" fontId="8" fillId="5" borderId="0" xfId="0" applyFont="true" applyBorder="false" applyAlignment="true" applyProtection="false">
      <alignment horizontal="general" vertical="bottom" textRotation="0" wrapText="false" indent="0" shrinkToFit="false"/>
      <protection locked="true" hidden="false"/>
    </xf>
    <xf numFmtId="170" fontId="11" fillId="6" borderId="0" xfId="0" applyFont="true" applyBorder="false" applyAlignment="true" applyProtection="false">
      <alignment horizontal="general" vertical="bottom" textRotation="0" wrapText="false" indent="0" shrinkToFit="false"/>
      <protection locked="true" hidden="false"/>
    </xf>
    <xf numFmtId="171" fontId="8" fillId="0" borderId="0" xfId="0" applyFont="true" applyBorder="false" applyAlignment="true" applyProtection="false">
      <alignment horizontal="general" vertical="bottom" textRotation="0" wrapText="false" indent="0" shrinkToFit="false"/>
      <protection locked="true" hidden="false"/>
    </xf>
    <xf numFmtId="171" fontId="11" fillId="6" borderId="0" xfId="0" applyFont="true" applyBorder="false" applyAlignment="true" applyProtection="false">
      <alignment horizontal="general" vertical="bottom" textRotation="0" wrapText="false" indent="0" shrinkToFit="false"/>
      <protection locked="true" hidden="false"/>
    </xf>
    <xf numFmtId="171" fontId="8" fillId="5" borderId="0" xfId="0" applyFont="true" applyBorder="false" applyAlignment="true" applyProtection="false">
      <alignment horizontal="general" vertical="bottom" textRotation="0" wrapText="false" indent="0" shrinkToFit="false"/>
      <protection locked="true" hidden="false"/>
    </xf>
    <xf numFmtId="164" fontId="11" fillId="6" borderId="0" xfId="0" applyFont="true" applyBorder="false" applyAlignment="true" applyProtection="false">
      <alignment horizontal="general" vertical="bottom" textRotation="0" wrapText="false" indent="0" shrinkToFit="false"/>
      <protection locked="true" hidden="false"/>
    </xf>
    <xf numFmtId="165" fontId="11" fillId="6" borderId="0" xfId="0" applyFont="true" applyBorder="false" applyAlignment="true" applyProtection="false">
      <alignment horizontal="general" vertical="bottom" textRotation="0" wrapText="false" indent="0" shrinkToFit="false"/>
      <protection locked="true" hidden="false"/>
    </xf>
    <xf numFmtId="166" fontId="0" fillId="5" borderId="0" xfId="0" applyFont="false" applyBorder="false" applyAlignment="true" applyProtection="false">
      <alignment horizontal="general" vertical="bottom" textRotation="0" wrapText="false" indent="0" shrinkToFit="false"/>
      <protection locked="true" hidden="false"/>
    </xf>
    <xf numFmtId="165" fontId="12" fillId="0" borderId="2" xfId="0" applyFont="true" applyBorder="true" applyAlignment="true" applyProtection="false">
      <alignment horizontal="general" vertical="bottom" textRotation="0" wrapText="false" indent="0" shrinkToFit="false"/>
      <protection locked="true" hidden="false"/>
    </xf>
    <xf numFmtId="165" fontId="12" fillId="5" borderId="2" xfId="0" applyFont="true" applyBorder="tru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6" fontId="9" fillId="5"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72" fontId="8" fillId="0" borderId="0" xfId="0" applyFont="true" applyBorder="false" applyAlignment="true" applyProtection="false">
      <alignment horizontal="general" vertical="bottom" textRotation="0" wrapText="false" indent="0" shrinkToFit="false"/>
      <protection locked="true" hidden="false"/>
    </xf>
    <xf numFmtId="172" fontId="8" fillId="5" borderId="0" xfId="0" applyFont="true" applyBorder="false" applyAlignment="true" applyProtection="false">
      <alignment horizontal="general" vertical="bottom" textRotation="0" wrapText="false" indent="0" shrinkToFit="false"/>
      <protection locked="true" hidden="false"/>
    </xf>
    <xf numFmtId="172" fontId="6" fillId="0" borderId="0" xfId="0" applyFont="true" applyBorder="false" applyAlignment="true" applyProtection="false">
      <alignment horizontal="general" vertical="bottom" textRotation="0" wrapText="false" indent="0" shrinkToFit="false"/>
      <protection locked="true" hidden="false"/>
    </xf>
    <xf numFmtId="172" fontId="6" fillId="5"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6" fontId="6" fillId="5" borderId="0" xfId="0" applyFont="true" applyBorder="false" applyAlignment="true" applyProtection="false">
      <alignment horizontal="general" vertical="bottom" textRotation="0" wrapText="fals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73" fontId="8" fillId="0" borderId="0" xfId="0" applyFont="true" applyBorder="false" applyAlignment="true" applyProtection="false">
      <alignment horizontal="general" vertical="bottom" textRotation="0" wrapText="false" indent="0" shrinkToFit="false"/>
      <protection locked="true" hidden="false"/>
    </xf>
    <xf numFmtId="173" fontId="8" fillId="5"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74" fontId="0" fillId="0" borderId="0" xfId="0" applyFont="false" applyBorder="false" applyAlignment="true" applyProtection="false">
      <alignment horizontal="general" vertical="bottom" textRotation="0" wrapText="false" indent="0" shrinkToFit="false"/>
      <protection locked="true" hidden="false"/>
    </xf>
    <xf numFmtId="174" fontId="8" fillId="5" borderId="0" xfId="0" applyFont="true" applyBorder="false" applyAlignment="true" applyProtection="false">
      <alignment horizontal="general" vertical="bottom" textRotation="0" wrapText="false" indent="0" shrinkToFit="false"/>
      <protection locked="true" hidden="false"/>
    </xf>
    <xf numFmtId="166" fontId="13" fillId="6" borderId="0" xfId="0" applyFont="true" applyBorder="false" applyAlignment="true" applyProtection="false">
      <alignment horizontal="general" vertical="bottom" textRotation="0" wrapText="false" indent="0" shrinkToFit="false"/>
      <protection locked="true" hidden="false"/>
    </xf>
    <xf numFmtId="172" fontId="0" fillId="5" borderId="0" xfId="0" applyFont="fals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75" fontId="11" fillId="0" borderId="0" xfId="0" applyFont="true" applyBorder="false" applyAlignment="true" applyProtection="false">
      <alignment horizontal="general" vertical="bottom" textRotation="0" wrapText="false" indent="0" shrinkToFit="false"/>
      <protection locked="true" hidden="false"/>
    </xf>
    <xf numFmtId="176" fontId="11" fillId="6" borderId="0" xfId="0" applyFont="true" applyBorder="false" applyAlignment="true" applyProtection="false">
      <alignment horizontal="general" vertical="bottom" textRotation="0" wrapText="false" indent="0" shrinkToFit="false"/>
      <protection locked="true" hidden="false"/>
    </xf>
    <xf numFmtId="176" fontId="11" fillId="0" borderId="0" xfId="0" applyFont="true" applyBorder="false" applyAlignment="true" applyProtection="false">
      <alignment horizontal="general" vertical="bottom" textRotation="0" wrapText="false" indent="0" shrinkToFit="false"/>
      <protection locked="true" hidden="false"/>
    </xf>
    <xf numFmtId="176" fontId="6" fillId="0" borderId="0" xfId="0" applyFont="true" applyBorder="false" applyAlignment="true" applyProtection="false">
      <alignment horizontal="general" vertical="bottom" textRotation="0" wrapText="false" indent="0" shrinkToFit="false"/>
      <protection locked="true" hidden="false"/>
    </xf>
    <xf numFmtId="175" fontId="11" fillId="6" borderId="0" xfId="0" applyFont="true" applyBorder="false" applyAlignment="true" applyProtection="false">
      <alignment horizontal="general" vertical="bottom" textRotation="0" wrapText="false" indent="0" shrinkToFit="false"/>
      <protection locked="true" hidden="false"/>
    </xf>
    <xf numFmtId="175" fontId="6" fillId="0" borderId="0" xfId="0" applyFont="true" applyBorder="false" applyAlignment="true" applyProtection="false">
      <alignment horizontal="general" vertical="bottom" textRotation="0" wrapText="false" indent="0" shrinkToFit="false"/>
      <protection locked="true" hidden="false"/>
    </xf>
    <xf numFmtId="175" fontId="8" fillId="0" borderId="0" xfId="0" applyFont="true" applyBorder="false" applyAlignment="true" applyProtection="false">
      <alignment horizontal="general" vertical="bottom" textRotation="0" wrapText="false" indent="0" shrinkToFit="false"/>
      <protection locked="true" hidden="false"/>
    </xf>
    <xf numFmtId="175" fontId="9" fillId="0" borderId="0" xfId="0" applyFont="tru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68" fontId="11"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75" fontId="14" fillId="7"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4" fontId="7" fillId="3" borderId="0" xfId="0" applyFont="true" applyBorder="false" applyAlignment="true" applyProtection="false">
      <alignment horizontal="center" vertical="bottom" textRotation="0" wrapText="false" indent="0" shrinkToFit="false"/>
      <protection locked="true" hidden="false"/>
    </xf>
    <xf numFmtId="166" fontId="6" fillId="7" borderId="0" xfId="0" applyFont="true" applyBorder="false" applyAlignment="true" applyProtection="false">
      <alignment horizontal="general" vertical="bottom" textRotation="0" wrapText="false" indent="0" shrinkToFit="false"/>
      <protection locked="true" hidden="false"/>
    </xf>
    <xf numFmtId="166" fontId="13" fillId="0" borderId="0" xfId="0" applyFont="true" applyBorder="false" applyAlignment="true" applyProtection="false">
      <alignment horizontal="center" vertical="bottom" textRotation="0" wrapText="false" indent="0" shrinkToFit="false"/>
      <protection locked="true" hidden="false"/>
    </xf>
    <xf numFmtId="177" fontId="13" fillId="0" borderId="0" xfId="0" applyFont="true" applyBorder="false" applyAlignment="true" applyProtection="false">
      <alignment horizontal="left" vertical="bottom" textRotation="0" wrapText="false" indent="0" shrinkToFit="false"/>
      <protection locked="true" hidden="false"/>
    </xf>
    <xf numFmtId="166" fontId="6" fillId="0" borderId="0" xfId="0" applyFont="true" applyBorder="false" applyAlignment="true" applyProtection="false">
      <alignment horizontal="center" vertical="bottom" textRotation="0" wrapText="false" indent="0" shrinkToFit="false"/>
      <protection locked="true" hidden="false"/>
    </xf>
    <xf numFmtId="177" fontId="6" fillId="0" borderId="0" xfId="0" applyFont="true" applyBorder="false" applyAlignment="true" applyProtection="false">
      <alignment horizontal="left" vertical="bottom" textRotation="0" wrapText="false" indent="0" shrinkToFit="false"/>
      <protection locked="true" hidden="false"/>
    </xf>
    <xf numFmtId="165" fontId="12" fillId="0" borderId="0" xfId="0" applyFont="true" applyBorder="false" applyAlignment="true" applyProtection="false">
      <alignment horizontal="general" vertical="bottom" textRotation="0" wrapText="false" indent="0" shrinkToFit="false"/>
      <protection locked="true" hidden="false"/>
    </xf>
    <xf numFmtId="165" fontId="12" fillId="5" borderId="0" xfId="0" applyFont="true" applyBorder="false" applyAlignment="true" applyProtection="false">
      <alignment horizontal="general" vertical="bottom" textRotation="0" wrapText="false" indent="0" shrinkToFit="false"/>
      <protection locked="true" hidden="false"/>
    </xf>
    <xf numFmtId="166" fontId="8" fillId="7" borderId="0" xfId="0" applyFont="true" applyBorder="false" applyAlignment="true" applyProtection="false">
      <alignment horizontal="general" vertical="bottom" textRotation="0" wrapText="false" indent="0" shrinkToFit="false"/>
      <protection locked="true" hidden="false"/>
    </xf>
    <xf numFmtId="168" fontId="9"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general" vertical="bottom" textRotation="0" wrapText="false" indent="0" shrinkToFit="false"/>
      <protection locked="true" hidden="false"/>
    </xf>
    <xf numFmtId="168" fontId="6" fillId="5" borderId="0" xfId="0" applyFont="true" applyBorder="false" applyAlignment="true" applyProtection="false">
      <alignment horizontal="general" vertical="bottom" textRotation="0" wrapText="false" indent="0" shrinkToFit="false"/>
      <protection locked="true" hidden="false"/>
    </xf>
    <xf numFmtId="178" fontId="8" fillId="0" borderId="0" xfId="0" applyFont="true" applyBorder="false" applyAlignment="true" applyProtection="false">
      <alignment horizontal="general" vertical="bottom" textRotation="0" wrapText="false" indent="0" shrinkToFit="false"/>
      <protection locked="true" hidden="false"/>
    </xf>
    <xf numFmtId="178" fontId="11" fillId="6" borderId="0" xfId="0" applyFont="true" applyBorder="false" applyAlignment="true" applyProtection="false">
      <alignment horizontal="general" vertical="bottom" textRotation="0" wrapText="false" indent="0" shrinkToFit="false"/>
      <protection locked="true" hidden="false"/>
    </xf>
    <xf numFmtId="168" fontId="9" fillId="5"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9" fontId="9"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9" fontId="12" fillId="0" borderId="0" xfId="0" applyFont="true" applyBorder="false" applyAlignment="false" applyProtection="false">
      <alignment horizontal="general" vertical="bottom" textRotation="0" wrapText="false" indent="0" shrinkToFit="false"/>
      <protection locked="true" hidden="false"/>
    </xf>
    <xf numFmtId="180" fontId="8"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9" fontId="6" fillId="0" borderId="0" xfId="0" applyFont="true" applyBorder="false" applyAlignment="false" applyProtection="false">
      <alignment horizontal="general" vertical="bottom" textRotation="0" wrapText="false" indent="0" shrinkToFit="false"/>
      <protection locked="true" hidden="false"/>
    </xf>
    <xf numFmtId="180" fontId="9" fillId="0" borderId="0" xfId="0" applyFont="true" applyBorder="false" applyAlignment="false" applyProtection="false">
      <alignment horizontal="general" vertical="bottom" textRotation="0" wrapText="false" indent="0" shrinkToFit="false"/>
      <protection locked="true" hidden="false"/>
    </xf>
    <xf numFmtId="179" fontId="8" fillId="0" borderId="0" xfId="0" applyFont="true" applyBorder="false" applyAlignment="false" applyProtection="false">
      <alignment horizontal="general" vertical="bottom" textRotation="0" wrapText="false" indent="0" shrinkToFit="false"/>
      <protection locked="true" hidden="false"/>
    </xf>
    <xf numFmtId="180" fontId="6" fillId="7" borderId="0" xfId="0" applyFont="true" applyBorder="false" applyAlignment="false" applyProtection="false">
      <alignment horizontal="general" vertical="bottom" textRotation="0" wrapText="false" indent="0" shrinkToFit="false"/>
      <protection locked="true" hidden="false"/>
    </xf>
    <xf numFmtId="180" fontId="6" fillId="0" borderId="0" xfId="0" applyFont="true" applyBorder="false" applyAlignment="false" applyProtection="false">
      <alignment horizontal="general" vertical="bottom" textRotation="0" wrapText="false" indent="0" shrinkToFit="false"/>
      <protection locked="true" hidden="false"/>
    </xf>
    <xf numFmtId="176" fontId="9" fillId="0" borderId="0" xfId="0" applyFont="true" applyBorder="false" applyAlignment="false" applyProtection="false">
      <alignment horizontal="general" vertical="bottom" textRotation="0" wrapText="false" indent="0" shrinkToFit="false"/>
      <protection locked="true" hidden="false"/>
    </xf>
    <xf numFmtId="176" fontId="8" fillId="0" borderId="0" xfId="0" applyFont="true" applyBorder="false" applyAlignment="false" applyProtection="fals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xf numFmtId="181" fontId="0" fillId="0" borderId="0" xfId="0" applyFont="fals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82" fontId="9" fillId="0" borderId="0" xfId="0" applyFont="true" applyBorder="false" applyAlignment="false" applyProtection="false">
      <alignment horizontal="general" vertical="bottom" textRotation="0" wrapText="false" indent="0" shrinkToFit="false"/>
      <protection locked="true" hidden="false"/>
    </xf>
    <xf numFmtId="182" fontId="8" fillId="0" borderId="0" xfId="0" applyFont="true" applyBorder="false" applyAlignment="false" applyProtection="false">
      <alignment horizontal="general" vertical="bottom" textRotation="0" wrapText="false" indent="0" shrinkToFit="false"/>
      <protection locked="true" hidden="false"/>
    </xf>
    <xf numFmtId="182" fontId="0" fillId="0" borderId="0" xfId="0" applyFont="fals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true" applyProtection="false">
      <alignment horizontal="general" vertical="bottom" textRotation="0" wrapText="false" indent="0" shrinkToFit="false"/>
      <protection locked="true" hidden="false"/>
    </xf>
    <xf numFmtId="183" fontId="11" fillId="0" borderId="0" xfId="0" applyFont="true" applyBorder="false" applyAlignment="true" applyProtection="false">
      <alignment horizontal="general" vertical="bottom" textRotation="0" wrapText="false" indent="0" shrinkToFit="false"/>
      <protection locked="true" hidden="false"/>
    </xf>
    <xf numFmtId="171" fontId="11"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79" fontId="11" fillId="0" borderId="0" xfId="0" applyFont="true" applyBorder="false" applyAlignment="false" applyProtection="false">
      <alignment horizontal="general" vertical="bottom" textRotation="0" wrapText="false" indent="0" shrinkToFit="false"/>
      <protection locked="true" hidden="false"/>
    </xf>
    <xf numFmtId="184" fontId="11" fillId="0" borderId="0" xfId="0" applyFont="true" applyBorder="false" applyAlignment="false" applyProtection="false">
      <alignment horizontal="general" vertical="bottom" textRotation="0" wrapText="false" indent="0" shrinkToFit="false"/>
      <protection locked="true" hidden="false"/>
    </xf>
    <xf numFmtId="185" fontId="11" fillId="0" borderId="0" xfId="0" applyFont="true" applyBorder="false" applyAlignment="false" applyProtection="false">
      <alignment horizontal="general" vertical="bottom" textRotation="0" wrapText="false" indent="0" shrinkToFit="false"/>
      <protection locked="true" hidden="false"/>
    </xf>
    <xf numFmtId="176" fontId="11" fillId="6"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7F7F7F"/>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11" min="2" style="1" width="11"/>
    <col collapsed="false" customWidth="true" hidden="false" outlineLevel="0" max="12" min="12" style="1" width="62"/>
  </cols>
  <sheetData>
    <row r="1" customFormat="false" ht="17.2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B3" s="4" t="s">
        <v>2</v>
      </c>
      <c r="G3" s="4" t="s">
        <v>3</v>
      </c>
    </row>
    <row r="4" customFormat="false" ht="15" hidden="false" customHeight="true" outlineLevel="0" collapsed="false">
      <c r="A4" s="5" t="s">
        <v>4</v>
      </c>
      <c r="B4" s="6" t="s">
        <v>5</v>
      </c>
      <c r="C4" s="6" t="s">
        <v>6</v>
      </c>
      <c r="D4" s="6" t="s">
        <v>7</v>
      </c>
      <c r="E4" s="6" t="s">
        <v>8</v>
      </c>
      <c r="F4" s="6" t="s">
        <v>9</v>
      </c>
      <c r="G4" s="7" t="s">
        <v>10</v>
      </c>
      <c r="H4" s="7" t="s">
        <v>11</v>
      </c>
      <c r="I4" s="7" t="s">
        <v>12</v>
      </c>
      <c r="J4" s="7" t="s">
        <v>13</v>
      </c>
      <c r="K4" s="7" t="s">
        <v>14</v>
      </c>
      <c r="L4" s="5" t="s">
        <v>15</v>
      </c>
    </row>
    <row r="6" customFormat="false" ht="15" hidden="false" customHeight="true" outlineLevel="0" collapsed="false">
      <c r="A6" s="8" t="s">
        <v>16</v>
      </c>
      <c r="B6" s="9"/>
      <c r="C6" s="9"/>
      <c r="D6" s="9"/>
      <c r="E6" s="9"/>
      <c r="F6" s="9"/>
      <c r="G6" s="9"/>
      <c r="H6" s="9"/>
      <c r="I6" s="9"/>
      <c r="J6" s="9"/>
      <c r="K6" s="9"/>
      <c r="L6" s="9"/>
    </row>
    <row r="7" customFormat="false" ht="15" hidden="false" customHeight="true" outlineLevel="0" collapsed="false">
      <c r="A7" s="10" t="s">
        <v>17</v>
      </c>
      <c r="B7" s="11" t="n">
        <f aca="false">Data!C8</f>
        <v>10400</v>
      </c>
      <c r="C7" s="11" t="n">
        <f aca="false">Data!D8</f>
        <v>11600</v>
      </c>
      <c r="D7" s="11" t="n">
        <f aca="false">Data!E8</f>
        <v>12300</v>
      </c>
      <c r="E7" s="11" t="n">
        <f aca="false">Data!F8</f>
        <v>13200</v>
      </c>
      <c r="F7" s="11" t="n">
        <f aca="false">Data!G8</f>
        <v>14200</v>
      </c>
      <c r="G7" s="12" t="n">
        <f aca="false">F7*(1+G8)</f>
        <v>15620</v>
      </c>
      <c r="H7" s="12" t="n">
        <f aca="false">G7*(1+H8)</f>
        <v>16869.6</v>
      </c>
      <c r="I7" s="12" t="n">
        <f aca="false">H7*(1+I8)</f>
        <v>18219.168</v>
      </c>
      <c r="J7" s="12" t="n">
        <f aca="false">I7*(1+J8)</f>
        <v>19585.6056</v>
      </c>
      <c r="K7" s="12" t="n">
        <f aca="false">J7*(1+K8)</f>
        <v>20956.597992</v>
      </c>
      <c r="L7" s="3" t="s">
        <v>18</v>
      </c>
    </row>
    <row r="8" customFormat="false" ht="15" hidden="false" customHeight="true" outlineLevel="0" collapsed="false">
      <c r="A8" s="13" t="s">
        <v>19</v>
      </c>
      <c r="B8" s="14"/>
      <c r="C8" s="15" t="n">
        <f aca="false">C7/B7-1</f>
        <v>0.115384615384615</v>
      </c>
      <c r="D8" s="15" t="n">
        <f aca="false">D7/C7-1</f>
        <v>0.0603448275862069</v>
      </c>
      <c r="E8" s="15" t="n">
        <f aca="false">E7/D7-1</f>
        <v>0.0731707317073171</v>
      </c>
      <c r="F8" s="15" t="n">
        <f aca="false">F7/E7-1</f>
        <v>0.0757575757575757</v>
      </c>
      <c r="G8" s="16" t="n">
        <v>0.1</v>
      </c>
      <c r="H8" s="16" t="n">
        <v>0.08</v>
      </c>
      <c r="I8" s="16" t="n">
        <v>0.08</v>
      </c>
      <c r="J8" s="16" t="n">
        <v>0.075</v>
      </c>
      <c r="K8" s="16" t="n">
        <v>0.07</v>
      </c>
      <c r="L8" s="3" t="s">
        <v>20</v>
      </c>
    </row>
    <row r="9" customFormat="false" ht="15" hidden="false" customHeight="true" outlineLevel="0" collapsed="false">
      <c r="A9" s="10" t="s">
        <v>21</v>
      </c>
      <c r="B9" s="17" t="n">
        <f aca="false">Data!C9</f>
        <v>164.7</v>
      </c>
      <c r="C9" s="17" t="n">
        <f aca="false">Data!D9</f>
        <v>192.5</v>
      </c>
      <c r="D9" s="17" t="n">
        <f aca="false">Data!E9</f>
        <v>212.6</v>
      </c>
      <c r="E9" s="17" t="n">
        <f aca="false">Data!F9</f>
        <v>233.8</v>
      </c>
      <c r="F9" s="17" t="n">
        <f aca="false">Data!G9</f>
        <v>257.5</v>
      </c>
      <c r="G9" s="18" t="n">
        <f aca="false">F9*(1+G10)</f>
        <v>283.25</v>
      </c>
      <c r="H9" s="18" t="n">
        <f aca="false">G9*(1+H10)</f>
        <v>308.7425</v>
      </c>
      <c r="I9" s="18" t="n">
        <f aca="false">H9*(1+I10)</f>
        <v>336.529325</v>
      </c>
      <c r="J9" s="18" t="n">
        <f aca="false">I9*(1+J10)</f>
        <v>363.451671</v>
      </c>
      <c r="K9" s="18" t="n">
        <f aca="false">J9*(1+K10)</f>
        <v>392.52780468</v>
      </c>
      <c r="L9" s="3" t="s">
        <v>18</v>
      </c>
    </row>
    <row r="10" customFormat="false" ht="15" hidden="false" customHeight="true" outlineLevel="0" collapsed="false">
      <c r="A10" s="13" t="s">
        <v>19</v>
      </c>
      <c r="B10" s="14"/>
      <c r="C10" s="15" t="n">
        <f aca="false">C9/B9-1</f>
        <v>0.168791742562235</v>
      </c>
      <c r="D10" s="15" t="n">
        <f aca="false">D9/C9-1</f>
        <v>0.104415584415584</v>
      </c>
      <c r="E10" s="15" t="n">
        <f aca="false">E9/D9-1</f>
        <v>0.0997177798682973</v>
      </c>
      <c r="F10" s="15" t="n">
        <f aca="false">F9/E9-1</f>
        <v>0.10136869118905</v>
      </c>
      <c r="G10" s="16" t="n">
        <v>0.1</v>
      </c>
      <c r="H10" s="16" t="n">
        <v>0.09</v>
      </c>
      <c r="I10" s="16" t="n">
        <v>0.09</v>
      </c>
      <c r="J10" s="16" t="n">
        <v>0.08</v>
      </c>
      <c r="K10" s="16" t="n">
        <v>0.08</v>
      </c>
      <c r="L10" s="3" t="s">
        <v>22</v>
      </c>
    </row>
    <row r="11" customFormat="false" ht="15" hidden="false" customHeight="true" outlineLevel="0" collapsed="false">
      <c r="A11" s="10" t="s">
        <v>23</v>
      </c>
      <c r="B11" s="19" t="n">
        <f aca="false">B7/B9</f>
        <v>63.1451123254402</v>
      </c>
      <c r="C11" s="19" t="n">
        <f aca="false">C7/C9</f>
        <v>60.2597402597403</v>
      </c>
      <c r="D11" s="19" t="n">
        <f aca="false">D7/D9</f>
        <v>57.8551269990593</v>
      </c>
      <c r="E11" s="19" t="n">
        <f aca="false">E7/E9</f>
        <v>56.4585115483319</v>
      </c>
      <c r="F11" s="19" t="n">
        <f aca="false">F7/F9</f>
        <v>55.1456310679612</v>
      </c>
      <c r="G11" s="20" t="n">
        <f aca="false">G7/G9</f>
        <v>55.1456310679612</v>
      </c>
      <c r="H11" s="20" t="n">
        <f aca="false">H7/H9</f>
        <v>54.6397078471542</v>
      </c>
      <c r="I11" s="20" t="n">
        <f aca="false">I7/I9</f>
        <v>54.1384261237858</v>
      </c>
      <c r="J11" s="20" t="n">
        <f aca="false">J7/J9</f>
        <v>53.8877852621016</v>
      </c>
      <c r="K11" s="20" t="n">
        <f aca="false">K7/K9</f>
        <v>53.3888242874525</v>
      </c>
      <c r="L11" s="3" t="s">
        <v>24</v>
      </c>
    </row>
    <row r="12" customFormat="false" ht="15" hidden="false" customHeight="true" outlineLevel="0" collapsed="false">
      <c r="A12" s="13" t="s">
        <v>19</v>
      </c>
      <c r="B12" s="14"/>
      <c r="C12" s="15" t="n">
        <f aca="false">C11/B11-1</f>
        <v>-0.0456943056943058</v>
      </c>
      <c r="D12" s="15" t="n">
        <f aca="false">D11/C11-1</f>
        <v>-0.039904142472508</v>
      </c>
      <c r="E12" s="15" t="n">
        <f aca="false">E11/D11-1</f>
        <v>-0.0241398735629786</v>
      </c>
      <c r="F12" s="15" t="n">
        <f aca="false">F11/E11-1</f>
        <v>-0.0232538982053545</v>
      </c>
      <c r="G12" s="21" t="n">
        <f aca="false">G11/F11-1</f>
        <v>0</v>
      </c>
      <c r="H12" s="21" t="n">
        <f aca="false">H11/G11-1</f>
        <v>-0.00917431192660556</v>
      </c>
      <c r="I12" s="21" t="n">
        <f aca="false">I11/H11-1</f>
        <v>-0.00917431192660534</v>
      </c>
      <c r="J12" s="21" t="n">
        <f aca="false">J11/I11-1</f>
        <v>-0.00462962962962954</v>
      </c>
      <c r="K12" s="21" t="n">
        <f aca="false">K11/J11-1</f>
        <v>-0.00925925925925952</v>
      </c>
      <c r="L12" s="3"/>
    </row>
    <row r="14" customFormat="false" ht="15" hidden="false" customHeight="true" outlineLevel="0" collapsed="false">
      <c r="A14" s="8" t="s">
        <v>25</v>
      </c>
      <c r="B14" s="9"/>
      <c r="C14" s="9"/>
      <c r="D14" s="9"/>
      <c r="E14" s="9"/>
      <c r="F14" s="9"/>
      <c r="G14" s="9"/>
      <c r="H14" s="9"/>
      <c r="I14" s="9"/>
      <c r="J14" s="9"/>
      <c r="K14" s="9"/>
      <c r="L14" s="9"/>
    </row>
    <row r="15" customFormat="false" ht="15" hidden="false" customHeight="true" outlineLevel="0" collapsed="false">
      <c r="A15" s="10" t="s">
        <v>26</v>
      </c>
      <c r="B15" s="11" t="n">
        <f aca="false">Data!C12</f>
        <v>11475</v>
      </c>
      <c r="C15" s="11" t="n">
        <f aca="false">Data!D12</f>
        <v>13361</v>
      </c>
      <c r="D15" s="11" t="n">
        <f aca="false">Data!E12</f>
        <v>14826</v>
      </c>
      <c r="E15" s="11" t="n">
        <f aca="false">Data!F12</f>
        <v>16114</v>
      </c>
      <c r="F15" s="11" t="n">
        <f aca="false">Data!G12</f>
        <v>17539</v>
      </c>
      <c r="G15" s="22" t="n">
        <f aca="false">G39/10000*G7*1000</f>
        <v>19837.4</v>
      </c>
      <c r="H15" s="22" t="n">
        <f aca="false">H39/10000*H7*1000</f>
        <v>21593.088</v>
      </c>
      <c r="I15" s="22" t="n">
        <f aca="false">I39/10000*I7*1000</f>
        <v>23502.72672</v>
      </c>
      <c r="J15" s="22" t="n">
        <f aca="false">J39/10000*J7*1000</f>
        <v>25461.28728</v>
      </c>
      <c r="K15" s="22" t="n">
        <f aca="false">K39/10000*K7*1000</f>
        <v>27453.14336952</v>
      </c>
      <c r="L15" s="3" t="s">
        <v>27</v>
      </c>
    </row>
    <row r="16" customFormat="false" ht="15" hidden="false" customHeight="true" outlineLevel="0" collapsed="false">
      <c r="A16" s="10" t="s">
        <v>28</v>
      </c>
      <c r="B16" s="11" t="n">
        <f aca="false">Data!C13</f>
        <v>12792</v>
      </c>
      <c r="C16" s="11" t="n">
        <f aca="false">Data!D13</f>
        <v>14438</v>
      </c>
      <c r="D16" s="11" t="n">
        <f aca="false">Data!E13</f>
        <v>16007</v>
      </c>
      <c r="E16" s="11" t="n">
        <f aca="false">Data!F13</f>
        <v>17714</v>
      </c>
      <c r="F16" s="11" t="n">
        <f aca="false">Data!G13</f>
        <v>19993</v>
      </c>
      <c r="G16" s="22" t="n">
        <f aca="false">G40*G9*1000</f>
        <v>23226.5</v>
      </c>
      <c r="H16" s="22" t="n">
        <f aca="false">H40*H9*1000</f>
        <v>25625.6275</v>
      </c>
      <c r="I16" s="22" t="n">
        <f aca="false">I40*I9*1000</f>
        <v>28268.4633</v>
      </c>
      <c r="J16" s="22" t="n">
        <f aca="false">J40*J9*1000</f>
        <v>30893.392035</v>
      </c>
      <c r="K16" s="22" t="n">
        <f aca="false">K40*K9*1000</f>
        <v>33757.39120248</v>
      </c>
      <c r="L16" s="3" t="s">
        <v>29</v>
      </c>
    </row>
    <row r="17" customFormat="false" ht="15" hidden="false" customHeight="true" outlineLevel="0" collapsed="false">
      <c r="A17" s="10" t="s">
        <v>30</v>
      </c>
      <c r="B17" s="11" t="n">
        <f aca="false">Data!C14</f>
        <v>6530</v>
      </c>
      <c r="C17" s="11" t="n">
        <f aca="false">Data!D14</f>
        <v>9815</v>
      </c>
      <c r="D17" s="11" t="n">
        <f aca="false">Data!E14</f>
        <v>11638</v>
      </c>
      <c r="E17" s="11" t="n">
        <f aca="false">Data!F14</f>
        <v>12665</v>
      </c>
      <c r="F17" s="11" t="n">
        <f aca="false">Data!G14</f>
        <v>14166</v>
      </c>
      <c r="G17" s="12" t="n">
        <f aca="false">F17*(1+G18)</f>
        <v>15299.28</v>
      </c>
      <c r="H17" s="12" t="n">
        <f aca="false">G17*(1+H18)</f>
        <v>16829.208</v>
      </c>
      <c r="I17" s="12" t="n">
        <f aca="false">H17*(1+I18)</f>
        <v>18512.1288</v>
      </c>
      <c r="J17" s="12" t="n">
        <f aca="false">I17*(1+J18)</f>
        <v>20178.220392</v>
      </c>
      <c r="K17" s="12" t="n">
        <f aca="false">J17*(1+K18)</f>
        <v>21994.26022728</v>
      </c>
      <c r="L17" s="3" t="s">
        <v>31</v>
      </c>
    </row>
    <row r="18" customFormat="false" ht="15" hidden="false" customHeight="true" outlineLevel="0" collapsed="false">
      <c r="A18" s="13" t="s">
        <v>19</v>
      </c>
      <c r="B18" s="14"/>
      <c r="C18" s="15" t="n">
        <f aca="false">C17/B17-1</f>
        <v>0.503062787136294</v>
      </c>
      <c r="D18" s="15" t="n">
        <f aca="false">D17/C17-1</f>
        <v>0.185736118186449</v>
      </c>
      <c r="E18" s="15" t="n">
        <f aca="false">E17/D17-1</f>
        <v>0.0882454029902045</v>
      </c>
      <c r="F18" s="15" t="n">
        <f aca="false">F17/E17-1</f>
        <v>0.118515594157126</v>
      </c>
      <c r="G18" s="16" t="n">
        <v>0.08</v>
      </c>
      <c r="H18" s="16" t="n">
        <v>0.1</v>
      </c>
      <c r="I18" s="16" t="n">
        <v>0.1</v>
      </c>
      <c r="J18" s="16" t="n">
        <v>0.09</v>
      </c>
      <c r="K18" s="16" t="n">
        <v>0.09</v>
      </c>
      <c r="L18" s="3" t="s">
        <v>32</v>
      </c>
    </row>
    <row r="19" customFormat="false" ht="15" hidden="false" customHeight="true" outlineLevel="0" collapsed="false">
      <c r="A19" s="10" t="s">
        <v>33</v>
      </c>
      <c r="B19" s="11" t="n">
        <f aca="false">Data!C15</f>
        <v>1675</v>
      </c>
      <c r="C19" s="11" t="n">
        <f aca="false">Data!D15</f>
        <v>1991</v>
      </c>
      <c r="D19" s="11" t="n">
        <f aca="false">Data!E15</f>
        <v>2479</v>
      </c>
      <c r="E19" s="11" t="n">
        <f aca="false">Data!F15</f>
        <v>3197</v>
      </c>
      <c r="F19" s="11" t="n">
        <f aca="false">Data!G15</f>
        <v>4053</v>
      </c>
      <c r="G19" s="12" t="n">
        <f aca="false">F19*(1+G20)</f>
        <v>5674.2</v>
      </c>
      <c r="H19" s="12" t="n">
        <f aca="false">G19*(1+H20)</f>
        <v>7092.75</v>
      </c>
      <c r="I19" s="12" t="n">
        <f aca="false">H19*(1+I20)</f>
        <v>8511.3</v>
      </c>
      <c r="J19" s="12" t="n">
        <f aca="false">I19*(1+J20)</f>
        <v>10043.334</v>
      </c>
      <c r="K19" s="12" t="n">
        <f aca="false">J19*(1+K20)</f>
        <v>11549.8341</v>
      </c>
      <c r="L19" s="3" t="s">
        <v>34</v>
      </c>
    </row>
    <row r="20" customFormat="false" ht="15" hidden="false" customHeight="true" outlineLevel="0" collapsed="false">
      <c r="A20" s="13" t="s">
        <v>19</v>
      </c>
      <c r="B20" s="14"/>
      <c r="C20" s="15" t="n">
        <f aca="false">C19/B19-1</f>
        <v>0.18865671641791</v>
      </c>
      <c r="D20" s="15" t="n">
        <f aca="false">D19/C19-1</f>
        <v>0.245102963335007</v>
      </c>
      <c r="E20" s="15" t="n">
        <f aca="false">E19/D19-1</f>
        <v>0.289632916498588</v>
      </c>
      <c r="F20" s="15" t="n">
        <f aca="false">F19/E19-1</f>
        <v>0.267751016578042</v>
      </c>
      <c r="G20" s="16" t="n">
        <v>0.4</v>
      </c>
      <c r="H20" s="16" t="n">
        <v>0.25</v>
      </c>
      <c r="I20" s="16" t="n">
        <v>0.2</v>
      </c>
      <c r="J20" s="16" t="n">
        <v>0.18</v>
      </c>
      <c r="K20" s="16" t="n">
        <v>0.15</v>
      </c>
      <c r="L20" s="3" t="s">
        <v>35</v>
      </c>
    </row>
    <row r="21" customFormat="false" ht="15" hidden="false" customHeight="true" outlineLevel="0" collapsed="false">
      <c r="A21" s="4" t="s">
        <v>36</v>
      </c>
      <c r="B21" s="23" t="n">
        <f aca="false">B15+B16+B17+B19</f>
        <v>32472</v>
      </c>
      <c r="C21" s="23" t="n">
        <f aca="false">C15+C16+C17+C19</f>
        <v>39605</v>
      </c>
      <c r="D21" s="23" t="n">
        <f aca="false">D15+D16+D17+D19</f>
        <v>44950</v>
      </c>
      <c r="E21" s="23" t="n">
        <f aca="false">E15+E16+E17+E19</f>
        <v>49690</v>
      </c>
      <c r="F21" s="23" t="n">
        <f aca="false">F15+F16+F17+F19</f>
        <v>55751</v>
      </c>
      <c r="G21" s="24" t="n">
        <f aca="false">G15+G16+G17+G19</f>
        <v>64037.38</v>
      </c>
      <c r="H21" s="24" t="n">
        <f aca="false">H15+H16+H17+H19</f>
        <v>71140.6735</v>
      </c>
      <c r="I21" s="24" t="n">
        <f aca="false">I15+I16+I17+I19</f>
        <v>78794.61882</v>
      </c>
      <c r="J21" s="24" t="n">
        <f aca="false">J15+J16+J17+J19</f>
        <v>86576.233707</v>
      </c>
      <c r="K21" s="24" t="n">
        <f aca="false">K15+K16+K17+K19</f>
        <v>94754.62889928</v>
      </c>
      <c r="L21" s="3" t="s">
        <v>37</v>
      </c>
    </row>
    <row r="22" customFormat="false" ht="15" hidden="false" customHeight="true" outlineLevel="0" collapsed="false">
      <c r="A22" s="13" t="s">
        <v>19</v>
      </c>
      <c r="B22" s="14"/>
      <c r="C22" s="15" t="n">
        <f aca="false">C21/B21-1</f>
        <v>0.219666173934467</v>
      </c>
      <c r="D22" s="15" t="n">
        <f aca="false">D21/C21-1</f>
        <v>0.134957707360182</v>
      </c>
      <c r="E22" s="15" t="n">
        <f aca="false">E21/D21-1</f>
        <v>0.105450500556173</v>
      </c>
      <c r="F22" s="15" t="n">
        <f aca="false">F21/E21-1</f>
        <v>0.121976252767156</v>
      </c>
      <c r="G22" s="21" t="n">
        <f aca="false">G21/F21-1</f>
        <v>0.148631952790084</v>
      </c>
      <c r="H22" s="21" t="n">
        <f aca="false">H21/G21-1</f>
        <v>0.110924174286956</v>
      </c>
      <c r="I22" s="21" t="n">
        <f aca="false">I21/H21-1</f>
        <v>0.107588879096007</v>
      </c>
      <c r="J22" s="21" t="n">
        <f aca="false">J21/I21-1</f>
        <v>0.0987582020642359</v>
      </c>
      <c r="K22" s="21" t="n">
        <f aca="false">K21/J21-1</f>
        <v>0.0944646682131975</v>
      </c>
      <c r="L22" s="3"/>
    </row>
    <row r="23" customFormat="false" ht="15" hidden="false" customHeight="true" outlineLevel="0" collapsed="false">
      <c r="A23" s="10" t="s">
        <v>38</v>
      </c>
      <c r="B23" s="11" t="n">
        <f aca="false">Data!C16</f>
        <v>8367</v>
      </c>
      <c r="C23" s="11" t="n">
        <f aca="false">Data!D16</f>
        <v>10295</v>
      </c>
      <c r="D23" s="11" t="n">
        <f aca="false">Data!E16</f>
        <v>12297</v>
      </c>
      <c r="E23" s="11" t="n">
        <f aca="false">Data!F16</f>
        <v>13764</v>
      </c>
      <c r="F23" s="11" t="n">
        <f aca="false">Data!G16</f>
        <v>15751</v>
      </c>
      <c r="G23" s="22" t="n">
        <f aca="false">G38*G21</f>
        <v>18442.76544</v>
      </c>
      <c r="H23" s="22" t="n">
        <f aca="false">H38*H21</f>
        <v>20773.076662</v>
      </c>
      <c r="I23" s="22" t="n">
        <f aca="false">I38*I21</f>
        <v>23244.4125519</v>
      </c>
      <c r="J23" s="22" t="n">
        <f aca="false">J38*J21</f>
        <v>25799.717644686</v>
      </c>
      <c r="K23" s="22" t="n">
        <f aca="false">K38*K21</f>
        <v>28426.388669784</v>
      </c>
      <c r="L23" s="3" t="s">
        <v>39</v>
      </c>
    </row>
    <row r="24" customFormat="false" ht="15" hidden="false" customHeight="true" outlineLevel="0" collapsed="false">
      <c r="A24" s="25" t="s">
        <v>40</v>
      </c>
      <c r="B24" s="26" t="n">
        <f aca="false">B21-B23</f>
        <v>24105</v>
      </c>
      <c r="C24" s="26" t="n">
        <f aca="false">C21-C23</f>
        <v>29310</v>
      </c>
      <c r="D24" s="26" t="n">
        <f aca="false">D21-D23</f>
        <v>32653</v>
      </c>
      <c r="E24" s="26" t="n">
        <f aca="false">E21-E23</f>
        <v>35926</v>
      </c>
      <c r="F24" s="26" t="n">
        <f aca="false">F21-F23</f>
        <v>40000</v>
      </c>
      <c r="G24" s="27" t="n">
        <f aca="false">G21-G23</f>
        <v>45594.61456</v>
      </c>
      <c r="H24" s="27" t="n">
        <f aca="false">H21-H23</f>
        <v>50367.596838</v>
      </c>
      <c r="I24" s="27" t="n">
        <f aca="false">I21-I23</f>
        <v>55550.2062681</v>
      </c>
      <c r="J24" s="27" t="n">
        <f aca="false">J21-J23</f>
        <v>60776.516062314</v>
      </c>
      <c r="K24" s="27" t="n">
        <f aca="false">K21-K23</f>
        <v>66328.240229496</v>
      </c>
      <c r="L24" s="3" t="s">
        <v>41</v>
      </c>
    </row>
    <row r="25" customFormat="false" ht="15" hidden="false" customHeight="true" outlineLevel="0" collapsed="false">
      <c r="A25" s="13" t="s">
        <v>19</v>
      </c>
      <c r="B25" s="14"/>
      <c r="C25" s="15" t="n">
        <f aca="false">C24/B24-1</f>
        <v>0.215930304915993</v>
      </c>
      <c r="D25" s="15" t="n">
        <f aca="false">D24/C24-1</f>
        <v>0.114056635960423</v>
      </c>
      <c r="E25" s="15" t="n">
        <f aca="false">E24/D24-1</f>
        <v>0.100235812942149</v>
      </c>
      <c r="F25" s="15" t="n">
        <f aca="false">F24/E24-1</f>
        <v>0.113399766186049</v>
      </c>
      <c r="G25" s="21" t="n">
        <f aca="false">G24/F24-1</f>
        <v>0.139865364</v>
      </c>
      <c r="H25" s="21" t="n">
        <f aca="false">H24/G24-1</f>
        <v>0.1046830272404</v>
      </c>
      <c r="I25" s="21" t="n">
        <f aca="false">I24/H24-1</f>
        <v>0.102895705879498</v>
      </c>
      <c r="J25" s="21" t="n">
        <f aca="false">J24/I24-1</f>
        <v>0.0940826352469413</v>
      </c>
      <c r="K25" s="21" t="n">
        <f aca="false">K24/J24-1</f>
        <v>0.0913465352553253</v>
      </c>
      <c r="L25" s="3" t="s">
        <v>42</v>
      </c>
    </row>
    <row r="26" customFormat="false" ht="15" hidden="false" customHeight="true" outlineLevel="0" collapsed="false">
      <c r="A26" s="10" t="s">
        <v>43</v>
      </c>
      <c r="B26" s="28" t="n">
        <f aca="false">B24-Data!C17</f>
        <v>0</v>
      </c>
      <c r="C26" s="28" t="n">
        <f aca="false">C24-Data!D17</f>
        <v>0</v>
      </c>
      <c r="D26" s="28" t="n">
        <f aca="false">D24-Data!E17</f>
        <v>0</v>
      </c>
      <c r="E26" s="28" t="n">
        <f aca="false">E24-Data!F17</f>
        <v>0</v>
      </c>
      <c r="F26" s="28" t="n">
        <f aca="false">F24-Data!G17</f>
        <v>0</v>
      </c>
      <c r="G26" s="29"/>
      <c r="H26" s="29"/>
      <c r="I26" s="29"/>
      <c r="J26" s="29"/>
      <c r="K26" s="29"/>
      <c r="L26" s="3" t="s">
        <v>44</v>
      </c>
    </row>
    <row r="28" customFormat="false" ht="15" hidden="false" customHeight="true" outlineLevel="0" collapsed="false">
      <c r="A28" s="8" t="s">
        <v>45</v>
      </c>
      <c r="B28" s="9"/>
      <c r="C28" s="9"/>
      <c r="D28" s="9"/>
      <c r="E28" s="9"/>
      <c r="F28" s="9"/>
      <c r="G28" s="9"/>
      <c r="H28" s="9"/>
      <c r="I28" s="9"/>
      <c r="J28" s="9"/>
      <c r="K28" s="9"/>
      <c r="L28" s="9"/>
    </row>
    <row r="29" customFormat="false" ht="15" hidden="false" customHeight="true" outlineLevel="0" collapsed="false">
      <c r="A29" s="13" t="s">
        <v>46</v>
      </c>
      <c r="B29" s="15" t="n">
        <f aca="false">B15/B21</f>
        <v>0.353381374722838</v>
      </c>
      <c r="C29" s="15" t="n">
        <f aca="false">C15/C21</f>
        <v>0.337356394394647</v>
      </c>
      <c r="D29" s="15" t="n">
        <f aca="false">D15/D21</f>
        <v>0.329833147942158</v>
      </c>
      <c r="E29" s="15" t="n">
        <f aca="false">E15/E21</f>
        <v>0.324290601730731</v>
      </c>
      <c r="F29" s="15" t="n">
        <f aca="false">F15/F21</f>
        <v>0.314595253896791</v>
      </c>
      <c r="G29" s="21" t="n">
        <f aca="false">G15/G21</f>
        <v>0.309778445026951</v>
      </c>
      <c r="H29" s="21" t="n">
        <f aca="false">H15/H21</f>
        <v>0.303526617582556</v>
      </c>
      <c r="I29" s="21" t="n">
        <f aca="false">I15/I21</f>
        <v>0.298278322453594</v>
      </c>
      <c r="J29" s="21" t="n">
        <f aca="false">J15/J21</f>
        <v>0.294090955332715</v>
      </c>
      <c r="K29" s="21" t="n">
        <f aca="false">K15/K21</f>
        <v>0.289728783579549</v>
      </c>
      <c r="L29" s="3"/>
    </row>
    <row r="30" customFormat="false" ht="15" hidden="false" customHeight="true" outlineLevel="0" collapsed="false">
      <c r="A30" s="13" t="s">
        <v>47</v>
      </c>
      <c r="B30" s="15" t="n">
        <f aca="false">B16/B21</f>
        <v>0.393939393939394</v>
      </c>
      <c r="C30" s="15" t="n">
        <f aca="false">C16/C21</f>
        <v>0.364549930564323</v>
      </c>
      <c r="D30" s="15" t="n">
        <f aca="false">D16/D21</f>
        <v>0.356106785317019</v>
      </c>
      <c r="E30" s="15" t="n">
        <f aca="false">E16/E21</f>
        <v>0.356490239484806</v>
      </c>
      <c r="F30" s="15" t="n">
        <f aca="false">F16/F21</f>
        <v>0.358612401571272</v>
      </c>
      <c r="G30" s="21" t="n">
        <f aca="false">G16/G21</f>
        <v>0.362702221733619</v>
      </c>
      <c r="H30" s="21" t="n">
        <f aca="false">H16/H21</f>
        <v>0.360210639557693</v>
      </c>
      <c r="I30" s="21" t="n">
        <f aca="false">I16/I21</f>
        <v>0.358761343392967</v>
      </c>
      <c r="J30" s="21" t="n">
        <f aca="false">J16/J21</f>
        <v>0.356834557386182</v>
      </c>
      <c r="K30" s="21" t="n">
        <f aca="false">K16/K21</f>
        <v>0.356261130402005</v>
      </c>
      <c r="L30" s="3"/>
    </row>
    <row r="31" customFormat="false" ht="15" hidden="false" customHeight="true" outlineLevel="0" collapsed="false">
      <c r="A31" s="13" t="s">
        <v>48</v>
      </c>
      <c r="B31" s="15" t="n">
        <f aca="false">B17/B21</f>
        <v>0.20109632914511</v>
      </c>
      <c r="C31" s="15" t="n">
        <f aca="false">C17/C21</f>
        <v>0.247822244666078</v>
      </c>
      <c r="D31" s="15" t="n">
        <f aca="false">D17/D21</f>
        <v>0.258909899888765</v>
      </c>
      <c r="E31" s="15" t="n">
        <f aca="false">E17/E21</f>
        <v>0.254880257597102</v>
      </c>
      <c r="F31" s="15" t="n">
        <f aca="false">F17/F21</f>
        <v>0.254094096966871</v>
      </c>
      <c r="G31" s="21" t="n">
        <f aca="false">G17/G21</f>
        <v>0.238911710629011</v>
      </c>
      <c r="H31" s="21" t="n">
        <f aca="false">H17/H21</f>
        <v>0.236562393523025</v>
      </c>
      <c r="I31" s="21" t="n">
        <f aca="false">I17/I21</f>
        <v>0.234941536328635</v>
      </c>
      <c r="J31" s="21" t="n">
        <f aca="false">J17/J21</f>
        <v>0.233068817249422</v>
      </c>
      <c r="K31" s="21" t="n">
        <f aca="false">K17/K21</f>
        <v>0.232118055685268</v>
      </c>
      <c r="L31" s="3"/>
    </row>
    <row r="32" customFormat="false" ht="15" hidden="false" customHeight="true" outlineLevel="0" collapsed="false">
      <c r="A32" s="13" t="s">
        <v>49</v>
      </c>
      <c r="B32" s="15" t="n">
        <f aca="false">B19/B21</f>
        <v>0.0515829021926583</v>
      </c>
      <c r="C32" s="15" t="n">
        <f aca="false">C19/C21</f>
        <v>0.0502714303749527</v>
      </c>
      <c r="D32" s="15" t="n">
        <f aca="false">D19/D21</f>
        <v>0.0551501668520578</v>
      </c>
      <c r="E32" s="15" t="n">
        <f aca="false">E19/E21</f>
        <v>0.0643389011873616</v>
      </c>
      <c r="F32" s="15" t="n">
        <f aca="false">F19/F21</f>
        <v>0.0726982475650661</v>
      </c>
      <c r="G32" s="21" t="n">
        <f aca="false">G19/G21</f>
        <v>0.0886076226104191</v>
      </c>
      <c r="H32" s="21" t="n">
        <f aca="false">H19/H21</f>
        <v>0.0997003493367265</v>
      </c>
      <c r="I32" s="21" t="n">
        <f aca="false">I19/I21</f>
        <v>0.108018797824803</v>
      </c>
      <c r="J32" s="21" t="n">
        <f aca="false">J19/J21</f>
        <v>0.116005670031682</v>
      </c>
      <c r="K32" s="21" t="n">
        <f aca="false">K19/K21</f>
        <v>0.121892030333177</v>
      </c>
      <c r="L32" s="3"/>
    </row>
    <row r="34" customFormat="false" ht="15" hidden="false" customHeight="true" outlineLevel="0" collapsed="false">
      <c r="A34" s="8" t="s">
        <v>50</v>
      </c>
      <c r="B34" s="9"/>
      <c r="C34" s="9"/>
      <c r="D34" s="9"/>
      <c r="E34" s="9"/>
      <c r="F34" s="9"/>
      <c r="G34" s="9"/>
      <c r="H34" s="9"/>
      <c r="I34" s="9"/>
      <c r="J34" s="9"/>
      <c r="K34" s="9"/>
      <c r="L34" s="9"/>
    </row>
    <row r="35" customFormat="false" ht="15" hidden="false" customHeight="true" outlineLevel="0" collapsed="false">
      <c r="A35" s="25" t="s">
        <v>51</v>
      </c>
      <c r="B35" s="30" t="n">
        <f aca="false">B24/(B7*1000)</f>
        <v>0.00231778846153846</v>
      </c>
      <c r="C35" s="30" t="n">
        <f aca="false">C24/(C7*1000)</f>
        <v>0.00252672413793103</v>
      </c>
      <c r="D35" s="30" t="n">
        <f aca="false">D24/(D7*1000)</f>
        <v>0.00265471544715447</v>
      </c>
      <c r="E35" s="30" t="n">
        <f aca="false">E24/(E7*1000)</f>
        <v>0.00272166666666667</v>
      </c>
      <c r="F35" s="30" t="n">
        <f aca="false">F24/(F7*1000)</f>
        <v>0.0028169014084507</v>
      </c>
      <c r="G35" s="31" t="n">
        <f aca="false">G24/(G7*1000)</f>
        <v>0.0029189894084507</v>
      </c>
      <c r="H35" s="31" t="n">
        <f aca="false">H24/(H7*1000)</f>
        <v>0.00298570190389814</v>
      </c>
      <c r="I35" s="31" t="n">
        <f aca="false">I24/(I7*1000)</f>
        <v>0.00304899797115324</v>
      </c>
      <c r="J35" s="31" t="n">
        <f aca="false">J24/(J7*1000)</f>
        <v>0.0031031216140855</v>
      </c>
      <c r="K35" s="31" t="n">
        <f aca="false">K24/(K7*1000)</f>
        <v>0.00316502899253096</v>
      </c>
      <c r="L35" s="3" t="s">
        <v>52</v>
      </c>
    </row>
    <row r="36" customFormat="false" ht="15" hidden="false" customHeight="true" outlineLevel="0" collapsed="false">
      <c r="A36" s="10" t="s">
        <v>53</v>
      </c>
      <c r="B36" s="32" t="n">
        <f aca="false">B35*10000</f>
        <v>23.1778846153846</v>
      </c>
      <c r="C36" s="32" t="n">
        <f aca="false">C35*10000</f>
        <v>25.2672413793103</v>
      </c>
      <c r="D36" s="32" t="n">
        <f aca="false">D35*10000</f>
        <v>26.5471544715447</v>
      </c>
      <c r="E36" s="32" t="n">
        <f aca="false">E35*10000</f>
        <v>27.2166666666667</v>
      </c>
      <c r="F36" s="32" t="n">
        <f aca="false">F35*10000</f>
        <v>28.169014084507</v>
      </c>
      <c r="G36" s="33" t="n">
        <f aca="false">G35*10000</f>
        <v>29.189894084507</v>
      </c>
      <c r="H36" s="33" t="n">
        <f aca="false">H35*10000</f>
        <v>29.8570190389814</v>
      </c>
      <c r="I36" s="33" t="n">
        <f aca="false">I35*10000</f>
        <v>30.4899797115324</v>
      </c>
      <c r="J36" s="33" t="n">
        <f aca="false">J35*10000</f>
        <v>31.031216140855</v>
      </c>
      <c r="K36" s="33" t="n">
        <f aca="false">K35*10000</f>
        <v>31.6502899253096</v>
      </c>
      <c r="L36" s="3"/>
    </row>
    <row r="37" customFormat="false" ht="15" hidden="false" customHeight="true" outlineLevel="0" collapsed="false">
      <c r="A37" s="10" t="s">
        <v>54</v>
      </c>
      <c r="B37" s="32" t="n">
        <f aca="false">B21/(B7*1000)*10000</f>
        <v>31.2230769230769</v>
      </c>
      <c r="C37" s="32" t="n">
        <f aca="false">C21/(C7*1000)*10000</f>
        <v>34.1422413793104</v>
      </c>
      <c r="D37" s="32" t="n">
        <f aca="false">D21/(D7*1000)*10000</f>
        <v>36.5447154471545</v>
      </c>
      <c r="E37" s="32" t="n">
        <f aca="false">E21/(E7*1000)*10000</f>
        <v>37.6439393939394</v>
      </c>
      <c r="F37" s="32" t="n">
        <f aca="false">F21/(F7*1000)*10000</f>
        <v>39.2612676056338</v>
      </c>
      <c r="G37" s="33" t="n">
        <f aca="false">G21/(G7*1000)*10000</f>
        <v>40.9970422535211</v>
      </c>
      <c r="H37" s="33" t="n">
        <f aca="false">H21/(H7*1000)*10000</f>
        <v>42.1709308460189</v>
      </c>
      <c r="I37" s="33" t="n">
        <f aca="false">I21/(I7*1000)*10000</f>
        <v>43.2481981723864</v>
      </c>
      <c r="J37" s="33" t="n">
        <f aca="false">J21/(J7*1000)*10000</f>
        <v>44.2040115966595</v>
      </c>
      <c r="K37" s="33" t="n">
        <f aca="false">K21/(K7*1000)*10000</f>
        <v>45.2146998932994</v>
      </c>
      <c r="L37" s="3" t="s">
        <v>55</v>
      </c>
    </row>
    <row r="38" customFormat="false" ht="15" hidden="false" customHeight="true" outlineLevel="0" collapsed="false">
      <c r="A38" s="10" t="s">
        <v>56</v>
      </c>
      <c r="B38" s="15" t="n">
        <f aca="false">B23/B21</f>
        <v>0.257668144863267</v>
      </c>
      <c r="C38" s="15" t="n">
        <f aca="false">C23/C21</f>
        <v>0.259941926524429</v>
      </c>
      <c r="D38" s="15" t="n">
        <f aca="false">D23/D21</f>
        <v>0.27357063403782</v>
      </c>
      <c r="E38" s="15" t="n">
        <f aca="false">E23/E21</f>
        <v>0.276997383779433</v>
      </c>
      <c r="F38" s="15" t="n">
        <f aca="false">F23/F21</f>
        <v>0.282524080285555</v>
      </c>
      <c r="G38" s="16" t="n">
        <v>0.288</v>
      </c>
      <c r="H38" s="16" t="n">
        <v>0.292</v>
      </c>
      <c r="I38" s="16" t="n">
        <v>0.295</v>
      </c>
      <c r="J38" s="16" t="n">
        <v>0.298</v>
      </c>
      <c r="K38" s="16" t="n">
        <v>0.3</v>
      </c>
      <c r="L38" s="3" t="s">
        <v>57</v>
      </c>
    </row>
    <row r="39" customFormat="false" ht="15" hidden="false" customHeight="true" outlineLevel="0" collapsed="false">
      <c r="A39" s="10" t="s">
        <v>58</v>
      </c>
      <c r="B39" s="32" t="n">
        <f aca="false">B15/(B7*1000)*10000</f>
        <v>11.0336538461538</v>
      </c>
      <c r="C39" s="32" t="n">
        <f aca="false">C15/(C7*1000)*10000</f>
        <v>11.5181034482759</v>
      </c>
      <c r="D39" s="32" t="n">
        <f aca="false">D15/(D7*1000)*10000</f>
        <v>12.0536585365854</v>
      </c>
      <c r="E39" s="32" t="n">
        <f aca="false">E15/(E7*1000)*10000</f>
        <v>12.2075757575758</v>
      </c>
      <c r="F39" s="32" t="n">
        <f aca="false">F15/(F7*1000)*10000</f>
        <v>12.3514084507042</v>
      </c>
      <c r="G39" s="34" t="n">
        <v>12.7</v>
      </c>
      <c r="H39" s="34" t="n">
        <v>12.8</v>
      </c>
      <c r="I39" s="34" t="n">
        <v>12.9</v>
      </c>
      <c r="J39" s="34" t="n">
        <v>13</v>
      </c>
      <c r="K39" s="34" t="n">
        <v>13.1</v>
      </c>
      <c r="L39" s="3" t="s">
        <v>59</v>
      </c>
    </row>
    <row r="40" customFormat="false" ht="15" hidden="false" customHeight="true" outlineLevel="0" collapsed="false">
      <c r="A40" s="10" t="s">
        <v>60</v>
      </c>
      <c r="B40" s="35" t="n">
        <f aca="false">B16/(B9*1000)</f>
        <v>0.0776684881602914</v>
      </c>
      <c r="C40" s="35" t="n">
        <f aca="false">C16/(C9*1000)</f>
        <v>0.0750025974025974</v>
      </c>
      <c r="D40" s="35" t="n">
        <f aca="false">D16/(D9*1000)</f>
        <v>0.0752916274694262</v>
      </c>
      <c r="E40" s="35" t="n">
        <f aca="false">E16/(E9*1000)</f>
        <v>0.0757656116338751</v>
      </c>
      <c r="F40" s="35" t="n">
        <f aca="false">F16/(F9*1000)</f>
        <v>0.0776427184466019</v>
      </c>
      <c r="G40" s="36" t="n">
        <v>0.082</v>
      </c>
      <c r="H40" s="36" t="n">
        <v>0.083</v>
      </c>
      <c r="I40" s="36" t="n">
        <v>0.084</v>
      </c>
      <c r="J40" s="36" t="n">
        <v>0.085</v>
      </c>
      <c r="K40" s="36" t="n">
        <v>0.086</v>
      </c>
      <c r="L40" s="3" t="s">
        <v>61</v>
      </c>
    </row>
    <row r="41" customFormat="false" ht="15" hidden="false" customHeight="true" outlineLevel="0" collapsed="false">
      <c r="A41" s="10" t="s">
        <v>62</v>
      </c>
      <c r="B41" s="35" t="n">
        <f aca="false">B24/(B9*1000)</f>
        <v>0.146357012750455</v>
      </c>
      <c r="C41" s="35" t="n">
        <f aca="false">C24/(C9*1000)</f>
        <v>0.15225974025974</v>
      </c>
      <c r="D41" s="35" t="n">
        <f aca="false">D24/(D9*1000)</f>
        <v>0.153588899341486</v>
      </c>
      <c r="E41" s="35" t="n">
        <f aca="false">E24/(E9*1000)</f>
        <v>0.15366124893071</v>
      </c>
      <c r="F41" s="35" t="n">
        <f aca="false">F24/(F9*1000)</f>
        <v>0.155339805825243</v>
      </c>
      <c r="G41" s="37" t="n">
        <f aca="false">G24/(G9*1000)</f>
        <v>0.160969513009709</v>
      </c>
      <c r="H41" s="37" t="n">
        <f aca="false">H24/(H9*1000)</f>
        <v>0.163137879747686</v>
      </c>
      <c r="I41" s="37" t="n">
        <f aca="false">I24/(I9*1000)</f>
        <v>0.165067951412852</v>
      </c>
      <c r="J41" s="37" t="n">
        <f aca="false">J24/(J9*1000)</f>
        <v>0.167220351182026</v>
      </c>
      <c r="K41" s="37" t="n">
        <f aca="false">K24/(K9*1000)</f>
        <v>0.168977176746928</v>
      </c>
      <c r="L41" s="3" t="s">
        <v>63</v>
      </c>
    </row>
    <row r="43" customFormat="false" ht="15" hidden="false" customHeight="true" outlineLevel="0" collapsed="false">
      <c r="A43" s="4" t="s">
        <v>64</v>
      </c>
    </row>
    <row r="44" customFormat="false" ht="15" hidden="false" customHeight="true" outlineLevel="0" collapsed="false">
      <c r="A44" s="3" t="s">
        <v>65</v>
      </c>
    </row>
    <row r="45" customFormat="false" ht="15" hidden="false" customHeight="true" outlineLevel="0" collapsed="false">
      <c r="A45" s="3" t="s">
        <v>66</v>
      </c>
    </row>
    <row r="46" customFormat="false" ht="15" hidden="false" customHeight="true" outlineLevel="0" collapsed="false">
      <c r="A46" s="3" t="s">
        <v>67</v>
      </c>
    </row>
    <row r="47" customFormat="false" ht="15" hidden="false" customHeight="true" outlineLevel="0" collapsed="false">
      <c r="A47" s="3" t="s">
        <v>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11" min="2" style="1" width="11"/>
    <col collapsed="false" customWidth="true" hidden="false" outlineLevel="0" max="12" min="12" style="1" width="74"/>
  </cols>
  <sheetData>
    <row r="1" customFormat="false" ht="17.25" hidden="false" customHeight="true" outlineLevel="0" collapsed="false">
      <c r="A1" s="2" t="s">
        <v>69</v>
      </c>
    </row>
    <row r="2" customFormat="false" ht="15" hidden="false" customHeight="true" outlineLevel="0" collapsed="false">
      <c r="A2" s="3" t="s">
        <v>70</v>
      </c>
    </row>
    <row r="4" customFormat="false" ht="15" hidden="false" customHeight="true" outlineLevel="0" collapsed="false">
      <c r="A4" s="4" t="s">
        <v>71</v>
      </c>
    </row>
    <row r="5" customFormat="false" ht="15" hidden="false" customHeight="true" outlineLevel="0" collapsed="false">
      <c r="A5" s="10" t="s">
        <v>72</v>
      </c>
      <c r="B5" s="38" t="n">
        <v>1</v>
      </c>
      <c r="L5" s="3" t="s">
        <v>73</v>
      </c>
    </row>
    <row r="6" customFormat="false" ht="15" hidden="false" customHeight="true" outlineLevel="0" collapsed="false">
      <c r="A6" s="10" t="s">
        <v>74</v>
      </c>
      <c r="B6" s="16" t="n">
        <v>0.17</v>
      </c>
      <c r="L6" s="3" t="s">
        <v>75</v>
      </c>
    </row>
    <row r="7" customFormat="false" ht="15" hidden="false" customHeight="true" outlineLevel="0" collapsed="false">
      <c r="B7" s="4" t="s">
        <v>2</v>
      </c>
      <c r="G7" s="4" t="s">
        <v>3</v>
      </c>
    </row>
    <row r="8" customFormat="false" ht="15" hidden="false" customHeight="true" outlineLevel="0" collapsed="false">
      <c r="A8" s="5" t="s">
        <v>4</v>
      </c>
      <c r="B8" s="6" t="s">
        <v>5</v>
      </c>
      <c r="C8" s="6" t="s">
        <v>6</v>
      </c>
      <c r="D8" s="6" t="s">
        <v>7</v>
      </c>
      <c r="E8" s="6" t="s">
        <v>8</v>
      </c>
      <c r="F8" s="6" t="s">
        <v>9</v>
      </c>
      <c r="G8" s="7" t="s">
        <v>10</v>
      </c>
      <c r="H8" s="7" t="s">
        <v>11</v>
      </c>
      <c r="I8" s="7" t="s">
        <v>12</v>
      </c>
      <c r="J8" s="7" t="s">
        <v>13</v>
      </c>
      <c r="K8" s="7" t="s">
        <v>14</v>
      </c>
      <c r="L8" s="5" t="s">
        <v>15</v>
      </c>
    </row>
    <row r="10" customFormat="false" ht="15" hidden="false" customHeight="true" outlineLevel="0" collapsed="false">
      <c r="A10" s="8" t="s">
        <v>76</v>
      </c>
      <c r="B10" s="9"/>
      <c r="C10" s="9"/>
      <c r="D10" s="9"/>
      <c r="E10" s="9"/>
      <c r="F10" s="9"/>
      <c r="G10" s="9"/>
      <c r="H10" s="9"/>
      <c r="I10" s="9"/>
      <c r="J10" s="9"/>
      <c r="K10" s="9"/>
      <c r="L10" s="9"/>
    </row>
    <row r="11" customFormat="false" ht="15" hidden="false" customHeight="true" outlineLevel="0" collapsed="false">
      <c r="A11" s="10" t="s">
        <v>40</v>
      </c>
      <c r="B11" s="11" t="n">
        <f aca="false">Tab1_Drivers!B24</f>
        <v>24105</v>
      </c>
      <c r="C11" s="11" t="n">
        <f aca="false">Tab1_Drivers!C24</f>
        <v>29310</v>
      </c>
      <c r="D11" s="11" t="n">
        <f aca="false">Tab1_Drivers!D24</f>
        <v>32653</v>
      </c>
      <c r="E11" s="11" t="n">
        <f aca="false">Tab1_Drivers!E24</f>
        <v>35926</v>
      </c>
      <c r="F11" s="11" t="n">
        <f aca="false">Tab1_Drivers!F24</f>
        <v>40000</v>
      </c>
      <c r="G11" s="12" t="n">
        <f aca="false">Tab1_Drivers!G24</f>
        <v>45594.61456</v>
      </c>
      <c r="H11" s="12" t="n">
        <f aca="false">Tab1_Drivers!H24</f>
        <v>50367.596838</v>
      </c>
      <c r="I11" s="12" t="n">
        <f aca="false">Tab1_Drivers!I24</f>
        <v>55550.2062681</v>
      </c>
      <c r="J11" s="12" t="n">
        <f aca="false">Tab1_Drivers!J24</f>
        <v>60776.516062314</v>
      </c>
      <c r="K11" s="12" t="n">
        <f aca="false">Tab1_Drivers!K24</f>
        <v>66328.240229496</v>
      </c>
      <c r="L11" s="3" t="s">
        <v>77</v>
      </c>
    </row>
    <row r="12" customFormat="false" ht="15" hidden="false" customHeight="true" outlineLevel="0" collapsed="false">
      <c r="A12" s="10" t="s">
        <v>78</v>
      </c>
      <c r="B12" s="11" t="n">
        <f aca="false">Data!C27-Data!C26</f>
        <v>8298</v>
      </c>
      <c r="C12" s="11" t="n">
        <f aca="false">Data!D27-Data!D26</f>
        <v>9629</v>
      </c>
      <c r="D12" s="11" t="n">
        <f aca="false">Data!E27-Data!E26</f>
        <v>10726</v>
      </c>
      <c r="E12" s="11" t="n">
        <f aca="false">Data!F27-Data!F26</f>
        <v>11869</v>
      </c>
      <c r="F12" s="11" t="n">
        <f aca="false">Data!G27-Data!G26</f>
        <v>13444</v>
      </c>
      <c r="G12" s="12" t="n">
        <f aca="false">G11*G13</f>
        <v>15502.1689504</v>
      </c>
      <c r="H12" s="12" t="n">
        <f aca="false">H11*H13</f>
        <v>17024.247731244</v>
      </c>
      <c r="I12" s="12" t="n">
        <f aca="false">I11*I13</f>
        <v>18664.8693060816</v>
      </c>
      <c r="J12" s="12" t="n">
        <f aca="false">J11*J13</f>
        <v>20299.3563648129</v>
      </c>
      <c r="K12" s="12" t="n">
        <f aca="false">K11*K13</f>
        <v>22020.9757561927</v>
      </c>
      <c r="L12" s="3" t="s">
        <v>79</v>
      </c>
    </row>
    <row r="13" customFormat="false" ht="15" hidden="false" customHeight="true" outlineLevel="0" collapsed="false">
      <c r="A13" s="13" t="s">
        <v>80</v>
      </c>
      <c r="B13" s="15" t="n">
        <f aca="false">B12/B11</f>
        <v>0.344243932794026</v>
      </c>
      <c r="C13" s="15" t="n">
        <f aca="false">C12/C11</f>
        <v>0.328522688502218</v>
      </c>
      <c r="D13" s="15" t="n">
        <f aca="false">D12/D11</f>
        <v>0.328484365908186</v>
      </c>
      <c r="E13" s="15" t="n">
        <f aca="false">E12/E11</f>
        <v>0.330373545621555</v>
      </c>
      <c r="F13" s="15" t="n">
        <f aca="false">F12/F11</f>
        <v>0.3361</v>
      </c>
      <c r="G13" s="16" t="n">
        <v>0.34</v>
      </c>
      <c r="H13" s="16" t="n">
        <v>0.338</v>
      </c>
      <c r="I13" s="16" t="n">
        <v>0.336</v>
      </c>
      <c r="J13" s="16" t="n">
        <v>0.334</v>
      </c>
      <c r="K13" s="16" t="n">
        <v>0.332</v>
      </c>
      <c r="L13" s="3" t="s">
        <v>81</v>
      </c>
    </row>
    <row r="14" customFormat="false" ht="15" hidden="false" customHeight="true" outlineLevel="0" collapsed="false">
      <c r="A14" s="10" t="s">
        <v>82</v>
      </c>
      <c r="B14" s="11" t="n">
        <f aca="false">Data!C26</f>
        <v>3</v>
      </c>
      <c r="C14" s="11" t="n">
        <f aca="false">Data!D26</f>
        <v>868</v>
      </c>
      <c r="D14" s="11" t="n">
        <f aca="false">Data!E26</f>
        <v>927</v>
      </c>
      <c r="E14" s="11" t="n">
        <f aca="false">Data!F26</f>
        <v>462</v>
      </c>
      <c r="F14" s="11" t="n">
        <f aca="false">Data!G26</f>
        <v>2562</v>
      </c>
      <c r="G14" s="39" t="n">
        <v>1290</v>
      </c>
      <c r="H14" s="39" t="n">
        <v>500</v>
      </c>
      <c r="I14" s="39" t="n">
        <v>500</v>
      </c>
      <c r="J14" s="39" t="n">
        <v>500</v>
      </c>
      <c r="K14" s="39" t="n">
        <v>500</v>
      </c>
      <c r="L14" s="3" t="s">
        <v>83</v>
      </c>
    </row>
    <row r="15" customFormat="false" ht="15" hidden="false" customHeight="true" outlineLevel="0" collapsed="false">
      <c r="A15" s="10" t="s">
        <v>84</v>
      </c>
      <c r="B15" s="11" t="n">
        <f aca="false">Data!C27</f>
        <v>8301</v>
      </c>
      <c r="C15" s="11" t="n">
        <f aca="false">Data!D27</f>
        <v>10497</v>
      </c>
      <c r="D15" s="11" t="n">
        <f aca="false">Data!E27</f>
        <v>11653</v>
      </c>
      <c r="E15" s="11" t="n">
        <f aca="false">Data!F27</f>
        <v>12331</v>
      </c>
      <c r="F15" s="11" t="n">
        <f aca="false">Data!G27</f>
        <v>16006</v>
      </c>
      <c r="G15" s="12" t="n">
        <f aca="false">G12+G14</f>
        <v>16792.1689504</v>
      </c>
      <c r="H15" s="12" t="n">
        <f aca="false">H12+H14</f>
        <v>17524.247731244</v>
      </c>
      <c r="I15" s="12" t="n">
        <f aca="false">I12+I14</f>
        <v>19164.8693060816</v>
      </c>
      <c r="J15" s="12" t="n">
        <f aca="false">J12+J14</f>
        <v>20799.3563648129</v>
      </c>
      <c r="K15" s="12" t="n">
        <f aca="false">K12+K14</f>
        <v>22520.9757561927</v>
      </c>
      <c r="L15" s="3" t="s">
        <v>85</v>
      </c>
    </row>
    <row r="16" customFormat="false" ht="15" hidden="false" customHeight="true" outlineLevel="0" collapsed="false">
      <c r="A16" s="25" t="s">
        <v>86</v>
      </c>
      <c r="B16" s="26" t="n">
        <f aca="false">B11-B15</f>
        <v>15804</v>
      </c>
      <c r="C16" s="26" t="n">
        <f aca="false">C11-C15</f>
        <v>18813</v>
      </c>
      <c r="D16" s="26" t="n">
        <f aca="false">D11-D15</f>
        <v>21000</v>
      </c>
      <c r="E16" s="26" t="n">
        <f aca="false">E11-E15</f>
        <v>23595</v>
      </c>
      <c r="F16" s="26" t="n">
        <f aca="false">F11-F15</f>
        <v>23994</v>
      </c>
      <c r="G16" s="27" t="n">
        <f aca="false">G11-G15</f>
        <v>28802.4456096</v>
      </c>
      <c r="H16" s="27" t="n">
        <f aca="false">H11-H15</f>
        <v>32843.349106756</v>
      </c>
      <c r="I16" s="27" t="n">
        <f aca="false">I11-I15</f>
        <v>36385.3369620184</v>
      </c>
      <c r="J16" s="27" t="n">
        <f aca="false">J11-J15</f>
        <v>39977.1596975011</v>
      </c>
      <c r="K16" s="27" t="n">
        <f aca="false">K11-K15</f>
        <v>43807.2644733033</v>
      </c>
      <c r="L16" s="3" t="s">
        <v>87</v>
      </c>
    </row>
    <row r="17" customFormat="false" ht="15" hidden="false" customHeight="true" outlineLevel="0" collapsed="false">
      <c r="A17" s="13" t="s">
        <v>88</v>
      </c>
      <c r="B17" s="15" t="n">
        <f aca="false">B16/B11</f>
        <v>0.655631611698818</v>
      </c>
      <c r="C17" s="15" t="n">
        <f aca="false">C16/C11</f>
        <v>0.641862845445241</v>
      </c>
      <c r="D17" s="15" t="n">
        <f aca="false">D16/D11</f>
        <v>0.643126205861636</v>
      </c>
      <c r="E17" s="15" t="n">
        <f aca="false">E16/E11</f>
        <v>0.656766687078996</v>
      </c>
      <c r="F17" s="15" t="n">
        <f aca="false">F16/F11</f>
        <v>0.59985</v>
      </c>
      <c r="G17" s="21" t="n">
        <f aca="false">G16/G11</f>
        <v>0.631707184884688</v>
      </c>
      <c r="H17" s="21" t="n">
        <f aca="false">H16/H11</f>
        <v>0.65207298280265</v>
      </c>
      <c r="I17" s="21" t="n">
        <f aca="false">I16/I11</f>
        <v>0.654999133331983</v>
      </c>
      <c r="J17" s="21" t="n">
        <f aca="false">J16/J11</f>
        <v>0.657773138172525</v>
      </c>
      <c r="K17" s="21" t="n">
        <f aca="false">K16/K11</f>
        <v>0.660461732766164</v>
      </c>
      <c r="L17" s="3"/>
    </row>
    <row r="18" customFormat="false" ht="15" hidden="false" customHeight="true" outlineLevel="0" collapsed="false">
      <c r="A18" s="10" t="s">
        <v>89</v>
      </c>
      <c r="B18" s="28" t="n">
        <f aca="false">B16-Data!C31</f>
        <v>0</v>
      </c>
      <c r="C18" s="28" t="n">
        <f aca="false">C16-Data!D31</f>
        <v>0</v>
      </c>
      <c r="D18" s="28" t="n">
        <f aca="false">D16-Data!E31</f>
        <v>0</v>
      </c>
      <c r="E18" s="28" t="n">
        <f aca="false">E16-Data!F31</f>
        <v>0</v>
      </c>
      <c r="F18" s="28" t="n">
        <f aca="false">F16-Data!G31</f>
        <v>0</v>
      </c>
      <c r="G18" s="29"/>
      <c r="H18" s="29"/>
      <c r="I18" s="29"/>
      <c r="J18" s="29"/>
      <c r="K18" s="29"/>
      <c r="L18" s="3" t="s">
        <v>90</v>
      </c>
    </row>
    <row r="19" customFormat="false" ht="15" hidden="false" customHeight="true" outlineLevel="0" collapsed="false">
      <c r="A19" s="25" t="s">
        <v>91</v>
      </c>
      <c r="B19" s="26" t="n">
        <f aca="false">B16+B14</f>
        <v>15807</v>
      </c>
      <c r="C19" s="26" t="n">
        <f aca="false">C16+C14</f>
        <v>19681</v>
      </c>
      <c r="D19" s="26" t="n">
        <f aca="false">D16+D14</f>
        <v>21927</v>
      </c>
      <c r="E19" s="26" t="n">
        <f aca="false">E16+E14</f>
        <v>24057</v>
      </c>
      <c r="F19" s="26" t="n">
        <f aca="false">F16+F14</f>
        <v>26556</v>
      </c>
      <c r="G19" s="27" t="n">
        <f aca="false">G16+G14</f>
        <v>30092.4456096</v>
      </c>
      <c r="H19" s="27" t="n">
        <f aca="false">H16+H14</f>
        <v>33343.349106756</v>
      </c>
      <c r="I19" s="27" t="n">
        <f aca="false">I16+I14</f>
        <v>36885.3369620184</v>
      </c>
      <c r="J19" s="27" t="n">
        <f aca="false">J16+J14</f>
        <v>40477.1596975011</v>
      </c>
      <c r="K19" s="27" t="n">
        <f aca="false">K16+K14</f>
        <v>44307.2644733033</v>
      </c>
      <c r="L19" s="3" t="s">
        <v>92</v>
      </c>
    </row>
    <row r="20" customFormat="false" ht="15" hidden="false" customHeight="true" outlineLevel="0" collapsed="false">
      <c r="A20" s="13" t="s">
        <v>93</v>
      </c>
      <c r="B20" s="15" t="n">
        <f aca="false">B19/B11</f>
        <v>0.655756067205974</v>
      </c>
      <c r="C20" s="15" t="n">
        <f aca="false">C19/C11</f>
        <v>0.671477311497782</v>
      </c>
      <c r="D20" s="15" t="n">
        <f aca="false">D19/D11</f>
        <v>0.671515634091814</v>
      </c>
      <c r="E20" s="15" t="n">
        <f aca="false">E19/E11</f>
        <v>0.669626454378445</v>
      </c>
      <c r="F20" s="15" t="n">
        <f aca="false">F19/F11</f>
        <v>0.6639</v>
      </c>
      <c r="G20" s="21" t="n">
        <f aca="false">G19/G11</f>
        <v>0.66</v>
      </c>
      <c r="H20" s="21" t="n">
        <f aca="false">H19/H11</f>
        <v>0.662</v>
      </c>
      <c r="I20" s="21" t="n">
        <f aca="false">I19/I11</f>
        <v>0.664</v>
      </c>
      <c r="J20" s="21" t="n">
        <f aca="false">J19/J11</f>
        <v>0.666</v>
      </c>
      <c r="K20" s="21" t="n">
        <f aca="false">K19/K11</f>
        <v>0.668</v>
      </c>
      <c r="L20" s="3"/>
    </row>
    <row r="21" customFormat="false" ht="15" hidden="false" customHeight="true" outlineLevel="0" collapsed="false">
      <c r="A21" s="10" t="s">
        <v>94</v>
      </c>
      <c r="B21" s="28" t="n">
        <f aca="false">B11-Data!C28</f>
        <v>16028</v>
      </c>
      <c r="C21" s="28" t="n">
        <f aca="false">C11-Data!D28</f>
        <v>19923</v>
      </c>
      <c r="D21" s="28" t="n">
        <f aca="false">D11-Data!E28</f>
        <v>22172</v>
      </c>
      <c r="E21" s="28" t="n">
        <f aca="false">E11-Data!F28</f>
        <v>24317</v>
      </c>
      <c r="F21" s="28" t="n">
        <f aca="false">F11-Data!G28</f>
        <v>27094</v>
      </c>
      <c r="G21" s="29"/>
      <c r="H21" s="29"/>
      <c r="I21" s="29"/>
      <c r="J21" s="29"/>
      <c r="K21" s="29"/>
      <c r="L21" s="3" t="s">
        <v>95</v>
      </c>
    </row>
    <row r="22" customFormat="false" ht="15" hidden="false" customHeight="true" outlineLevel="0" collapsed="false">
      <c r="A22" s="13" t="s">
        <v>96</v>
      </c>
      <c r="B22" s="15" t="n">
        <f aca="false">B21/B11</f>
        <v>0.66492428956648</v>
      </c>
      <c r="C22" s="15" t="n">
        <f aca="false">C21/C11</f>
        <v>0.679733879222109</v>
      </c>
      <c r="D22" s="15" t="n">
        <f aca="false">D21/D11</f>
        <v>0.6790187731602</v>
      </c>
      <c r="E22" s="15" t="n">
        <f aca="false">E21/E11</f>
        <v>0.676863552858654</v>
      </c>
      <c r="F22" s="15" t="n">
        <f aca="false">F21/F11</f>
        <v>0.67735</v>
      </c>
      <c r="G22" s="40"/>
      <c r="H22" s="40"/>
      <c r="I22" s="40"/>
      <c r="J22" s="40"/>
      <c r="K22" s="40"/>
      <c r="L22" s="3"/>
    </row>
    <row r="23" customFormat="false" ht="15" hidden="false" customHeight="true" outlineLevel="0" collapsed="false">
      <c r="A23" s="10" t="s">
        <v>97</v>
      </c>
      <c r="B23" s="11" t="n">
        <f aca="false">Data!C33</f>
        <v>259</v>
      </c>
      <c r="C23" s="11" t="n">
        <f aca="false">Data!D33</f>
        <v>-677</v>
      </c>
      <c r="D23" s="11" t="n">
        <f aca="false">Data!E33</f>
        <v>37</v>
      </c>
      <c r="E23" s="11" t="n">
        <f aca="false">Data!F33</f>
        <v>321</v>
      </c>
      <c r="F23" s="11" t="n">
        <f aca="false">Data!G33</f>
        <v>200</v>
      </c>
      <c r="G23" s="39" t="n">
        <v>-150</v>
      </c>
      <c r="H23" s="39" t="n">
        <v>-150</v>
      </c>
      <c r="I23" s="39" t="n">
        <v>-150</v>
      </c>
      <c r="J23" s="39" t="n">
        <v>-150</v>
      </c>
      <c r="K23" s="39" t="n">
        <v>-150</v>
      </c>
      <c r="L23" s="3" t="s">
        <v>98</v>
      </c>
    </row>
    <row r="24" customFormat="false" ht="15" hidden="false" customHeight="true" outlineLevel="0" collapsed="false">
      <c r="A24" s="10" t="s">
        <v>99</v>
      </c>
      <c r="B24" s="11" t="n">
        <f aca="false">Data!C34</f>
        <v>16063</v>
      </c>
      <c r="C24" s="11" t="n">
        <f aca="false">Data!D34</f>
        <v>18136</v>
      </c>
      <c r="D24" s="11" t="n">
        <f aca="false">Data!E34</f>
        <v>21037</v>
      </c>
      <c r="E24" s="11" t="n">
        <f aca="false">Data!F34</f>
        <v>23916</v>
      </c>
      <c r="F24" s="11" t="n">
        <f aca="false">Data!G34</f>
        <v>24194</v>
      </c>
      <c r="G24" s="12" t="n">
        <f aca="false">G16+G23</f>
        <v>28652.4456096</v>
      </c>
      <c r="H24" s="12" t="n">
        <f aca="false">H16+H23</f>
        <v>32693.349106756</v>
      </c>
      <c r="I24" s="12" t="n">
        <f aca="false">I16+I23</f>
        <v>36235.3369620184</v>
      </c>
      <c r="J24" s="12" t="n">
        <f aca="false">J16+J23</f>
        <v>39827.1596975011</v>
      </c>
      <c r="K24" s="12" t="n">
        <f aca="false">K16+K23</f>
        <v>43657.2644733033</v>
      </c>
      <c r="L24" s="3" t="s">
        <v>100</v>
      </c>
    </row>
    <row r="25" customFormat="false" ht="15" hidden="false" customHeight="true" outlineLevel="0" collapsed="false">
      <c r="A25" s="10" t="s">
        <v>101</v>
      </c>
      <c r="B25" s="11" t="n">
        <f aca="false">Data!C35</f>
        <v>3752</v>
      </c>
      <c r="C25" s="11" t="n">
        <f aca="false">Data!D35</f>
        <v>3179</v>
      </c>
      <c r="D25" s="11" t="n">
        <f aca="false">Data!E35</f>
        <v>3764</v>
      </c>
      <c r="E25" s="11" t="n">
        <f aca="false">Data!F35</f>
        <v>4173</v>
      </c>
      <c r="F25" s="11" t="n">
        <f aca="false">Data!G35</f>
        <v>4136</v>
      </c>
      <c r="G25" s="12" t="n">
        <f aca="false">G24*G26</f>
        <v>4584.391297536</v>
      </c>
      <c r="H25" s="12" t="n">
        <f aca="false">H24*H26</f>
        <v>5557.86934814852</v>
      </c>
      <c r="I25" s="12" t="n">
        <f aca="false">I24*I26</f>
        <v>6160.00728354313</v>
      </c>
      <c r="J25" s="12" t="n">
        <f aca="false">J24*J26</f>
        <v>6770.61714857519</v>
      </c>
      <c r="K25" s="12" t="n">
        <f aca="false">K24*K26</f>
        <v>7421.73496046157</v>
      </c>
      <c r="L25" s="3" t="s">
        <v>102</v>
      </c>
    </row>
    <row r="26" customFormat="false" ht="15" hidden="false" customHeight="true" outlineLevel="0" collapsed="false">
      <c r="A26" s="13" t="s">
        <v>103</v>
      </c>
      <c r="B26" s="15" t="n">
        <f aca="false">B25/B24</f>
        <v>0.233580277656727</v>
      </c>
      <c r="C26" s="15" t="n">
        <f aca="false">C25/C24</f>
        <v>0.175286722540803</v>
      </c>
      <c r="D26" s="15" t="n">
        <f aca="false">D25/D24</f>
        <v>0.178922850216286</v>
      </c>
      <c r="E26" s="15" t="n">
        <f aca="false">E25/E24</f>
        <v>0.174485699949824</v>
      </c>
      <c r="F26" s="15" t="n">
        <f aca="false">F25/F24</f>
        <v>0.170951475572456</v>
      </c>
      <c r="G26" s="16" t="n">
        <v>0.16</v>
      </c>
      <c r="H26" s="16" t="n">
        <v>0.17</v>
      </c>
      <c r="I26" s="16" t="n">
        <v>0.17</v>
      </c>
      <c r="J26" s="16" t="n">
        <v>0.17</v>
      </c>
      <c r="K26" s="16" t="n">
        <v>0.17</v>
      </c>
      <c r="L26" s="3" t="s">
        <v>104</v>
      </c>
    </row>
    <row r="27" customFormat="false" ht="15" hidden="false" customHeight="true" outlineLevel="0" collapsed="false">
      <c r="A27" s="13" t="s">
        <v>105</v>
      </c>
      <c r="B27" s="15" t="n">
        <f aca="false">$B$6</f>
        <v>0.17</v>
      </c>
      <c r="C27" s="15" t="n">
        <f aca="false">C26</f>
        <v>0.175286722540803</v>
      </c>
      <c r="D27" s="15" t="n">
        <f aca="false">D26</f>
        <v>0.178922850216286</v>
      </c>
      <c r="E27" s="15" t="n">
        <f aca="false">E26</f>
        <v>0.174485699949824</v>
      </c>
      <c r="F27" s="15" t="n">
        <f aca="false">F26</f>
        <v>0.170951475572456</v>
      </c>
      <c r="G27" s="21" t="n">
        <f aca="false">G26</f>
        <v>0.16</v>
      </c>
      <c r="H27" s="21" t="n">
        <f aca="false">H26</f>
        <v>0.17</v>
      </c>
      <c r="I27" s="21" t="n">
        <f aca="false">I26</f>
        <v>0.17</v>
      </c>
      <c r="J27" s="21" t="n">
        <f aca="false">J26</f>
        <v>0.17</v>
      </c>
      <c r="K27" s="21" t="n">
        <f aca="false">K26</f>
        <v>0.17</v>
      </c>
      <c r="L27" s="3" t="s">
        <v>106</v>
      </c>
    </row>
    <row r="28" customFormat="false" ht="15" hidden="false" customHeight="true" outlineLevel="0" collapsed="false">
      <c r="A28" s="25" t="s">
        <v>107</v>
      </c>
      <c r="B28" s="41" t="n">
        <f aca="false">Data!C36</f>
        <v>12311</v>
      </c>
      <c r="C28" s="41" t="n">
        <f aca="false">Data!D36</f>
        <v>14957</v>
      </c>
      <c r="D28" s="41" t="n">
        <f aca="false">Data!E36</f>
        <v>17273</v>
      </c>
      <c r="E28" s="41" t="n">
        <f aca="false">Data!F36</f>
        <v>19743</v>
      </c>
      <c r="F28" s="41" t="n">
        <f aca="false">Data!G36</f>
        <v>20058</v>
      </c>
      <c r="G28" s="42" t="n">
        <f aca="false">G24-G25</f>
        <v>24068.054312064</v>
      </c>
      <c r="H28" s="42" t="n">
        <f aca="false">H24-H25</f>
        <v>27135.4797586075</v>
      </c>
      <c r="I28" s="42" t="n">
        <f aca="false">I24-I25</f>
        <v>30075.3296784753</v>
      </c>
      <c r="J28" s="42" t="n">
        <f aca="false">J24-J25</f>
        <v>33056.5425489259</v>
      </c>
      <c r="K28" s="42" t="n">
        <f aca="false">K24-K25</f>
        <v>36235.5295128418</v>
      </c>
      <c r="L28" s="3" t="s">
        <v>108</v>
      </c>
    </row>
    <row r="29" customFormat="false" ht="15" hidden="false" customHeight="true" outlineLevel="0" collapsed="false">
      <c r="A29" s="13" t="s">
        <v>109</v>
      </c>
      <c r="B29" s="15" t="n">
        <f aca="false">B28/B11</f>
        <v>0.510723916199959</v>
      </c>
      <c r="C29" s="15" t="n">
        <f aca="false">C28/C11</f>
        <v>0.510303650631184</v>
      </c>
      <c r="D29" s="15" t="n">
        <f aca="false">D28/D11</f>
        <v>0.528986616849907</v>
      </c>
      <c r="E29" s="15" t="n">
        <f aca="false">E28/E11</f>
        <v>0.549546289595279</v>
      </c>
      <c r="F29" s="15" t="n">
        <f aca="false">F28/F11</f>
        <v>0.50145</v>
      </c>
      <c r="G29" s="21" t="n">
        <f aca="false">G28/G11</f>
        <v>0.527870551036061</v>
      </c>
      <c r="H29" s="21" t="n">
        <f aca="false">H28/H11</f>
        <v>0.53874874844406</v>
      </c>
      <c r="I29" s="21" t="n">
        <f aca="false">I28/I11</f>
        <v>0.54140806486521</v>
      </c>
      <c r="J29" s="21" t="n">
        <f aca="false">J28/J11</f>
        <v>0.543903216088154</v>
      </c>
      <c r="K29" s="21" t="n">
        <f aca="false">K28/K11</f>
        <v>0.546306209654691</v>
      </c>
      <c r="L29" s="3"/>
    </row>
    <row r="31" customFormat="false" ht="15" hidden="false" customHeight="true" outlineLevel="0" collapsed="false">
      <c r="A31" s="8" t="s">
        <v>110</v>
      </c>
      <c r="B31" s="9"/>
      <c r="C31" s="9"/>
      <c r="D31" s="9"/>
      <c r="E31" s="9"/>
      <c r="F31" s="9"/>
      <c r="G31" s="9"/>
      <c r="H31" s="9"/>
      <c r="I31" s="9"/>
      <c r="J31" s="9"/>
      <c r="K31" s="9"/>
      <c r="L31" s="9"/>
    </row>
    <row r="32" customFormat="false" ht="15" hidden="false" customHeight="true" outlineLevel="0" collapsed="false">
      <c r="A32" s="10" t="s">
        <v>111</v>
      </c>
      <c r="B32" s="14"/>
      <c r="C32" s="43" t="n">
        <f aca="false">Tab1_Drivers!C8</f>
        <v>0.115384615384615</v>
      </c>
      <c r="D32" s="43" t="n">
        <f aca="false">Tab1_Drivers!D8</f>
        <v>0.0603448275862069</v>
      </c>
      <c r="E32" s="43" t="n">
        <f aca="false">Tab1_Drivers!E8</f>
        <v>0.0731707317073171</v>
      </c>
      <c r="F32" s="43" t="n">
        <f aca="false">Tab1_Drivers!F8</f>
        <v>0.0757575757575757</v>
      </c>
      <c r="G32" s="44" t="n">
        <f aca="false">Tab1_Drivers!G8</f>
        <v>0.1</v>
      </c>
      <c r="H32" s="44" t="n">
        <f aca="false">Tab1_Drivers!H8</f>
        <v>0.08</v>
      </c>
      <c r="I32" s="44" t="n">
        <f aca="false">Tab1_Drivers!I8</f>
        <v>0.08</v>
      </c>
      <c r="J32" s="44" t="n">
        <f aca="false">Tab1_Drivers!J8</f>
        <v>0.075</v>
      </c>
      <c r="K32" s="44" t="n">
        <f aca="false">Tab1_Drivers!K8</f>
        <v>0.07</v>
      </c>
      <c r="L32" s="3" t="s">
        <v>112</v>
      </c>
    </row>
    <row r="33" customFormat="false" ht="15" hidden="false" customHeight="true" outlineLevel="0" collapsed="false">
      <c r="A33" s="10" t="s">
        <v>113</v>
      </c>
      <c r="B33" s="14"/>
      <c r="C33" s="15" t="n">
        <f aca="false">C11/B11-1</f>
        <v>0.215930304915993</v>
      </c>
      <c r="D33" s="15" t="n">
        <f aca="false">D11/C11-1</f>
        <v>0.114056635960423</v>
      </c>
      <c r="E33" s="15" t="n">
        <f aca="false">E11/D11-1</f>
        <v>0.100235812942149</v>
      </c>
      <c r="F33" s="15" t="n">
        <f aca="false">F11/E11-1</f>
        <v>0.113399766186049</v>
      </c>
      <c r="G33" s="21" t="n">
        <f aca="false">G11/F11-1</f>
        <v>0.139865364</v>
      </c>
      <c r="H33" s="21" t="n">
        <f aca="false">H11/G11-1</f>
        <v>0.1046830272404</v>
      </c>
      <c r="I33" s="21" t="n">
        <f aca="false">I11/H11-1</f>
        <v>0.102895705879498</v>
      </c>
      <c r="J33" s="21" t="n">
        <f aca="false">J11/I11-1</f>
        <v>0.0940826352469413</v>
      </c>
      <c r="K33" s="21" t="n">
        <f aca="false">K11/J11-1</f>
        <v>0.0913465352553253</v>
      </c>
      <c r="L33" s="3"/>
    </row>
    <row r="34" customFormat="false" ht="15" hidden="false" customHeight="true" outlineLevel="0" collapsed="false">
      <c r="A34" s="10" t="s">
        <v>114</v>
      </c>
      <c r="B34" s="14"/>
      <c r="C34" s="15" t="n">
        <f aca="false">C16/B16-1</f>
        <v>0.19039483675019</v>
      </c>
      <c r="D34" s="15" t="n">
        <f aca="false">D16/C16-1</f>
        <v>0.116249402009249</v>
      </c>
      <c r="E34" s="15" t="n">
        <f aca="false">E16/D16-1</f>
        <v>0.123571428571429</v>
      </c>
      <c r="F34" s="15" t="n">
        <f aca="false">F16/E16-1</f>
        <v>0.0169103623649078</v>
      </c>
      <c r="G34" s="21" t="n">
        <f aca="false">G16/F16-1</f>
        <v>0.200402000900225</v>
      </c>
      <c r="H34" s="21" t="n">
        <f aca="false">H16/G16-1</f>
        <v>0.140297235586452</v>
      </c>
      <c r="I34" s="21" t="n">
        <f aca="false">I16/H16-1</f>
        <v>0.107844904724829</v>
      </c>
      <c r="J34" s="21" t="n">
        <f aca="false">J16/I16-1</f>
        <v>0.0987162147002272</v>
      </c>
      <c r="K34" s="21" t="n">
        <f aca="false">K16/J16-1</f>
        <v>0.0958073261028001</v>
      </c>
      <c r="L34" s="3"/>
    </row>
    <row r="35" customFormat="false" ht="15" hidden="false" customHeight="true" outlineLevel="0" collapsed="false">
      <c r="A35" s="10" t="s">
        <v>115</v>
      </c>
      <c r="B35" s="14"/>
      <c r="C35" s="15" t="n">
        <f aca="false">C19/B19-1</f>
        <v>0.245081293097995</v>
      </c>
      <c r="D35" s="15" t="n">
        <f aca="false">D19/C19-1</f>
        <v>0.114120217468625</v>
      </c>
      <c r="E35" s="15" t="n">
        <f aca="false">E19/D19-1</f>
        <v>0.0971405116979067</v>
      </c>
      <c r="F35" s="15" t="n">
        <f aca="false">F19/E19-1</f>
        <v>0.103878289063474</v>
      </c>
      <c r="G35" s="21" t="n">
        <f aca="false">G19/F19-1</f>
        <v>0.133169363217352</v>
      </c>
      <c r="H35" s="21" t="n">
        <f aca="false">H19/G19-1</f>
        <v>0.108030551565371</v>
      </c>
      <c r="I35" s="21" t="n">
        <f aca="false">I19/H19-1</f>
        <v>0.106227717075509</v>
      </c>
      <c r="J35" s="21" t="n">
        <f aca="false">J19/I19-1</f>
        <v>0.0973780648711791</v>
      </c>
      <c r="K35" s="21" t="n">
        <f aca="false">K19/J19-1</f>
        <v>0.0946238521780138</v>
      </c>
      <c r="L35" s="3"/>
    </row>
    <row r="36" customFormat="false" ht="15" hidden="false" customHeight="true" outlineLevel="0" collapsed="false">
      <c r="A36" s="10" t="s">
        <v>116</v>
      </c>
      <c r="B36" s="45"/>
      <c r="C36" s="46" t="n">
        <f aca="false">C34/C33</f>
        <v>0.881742082586613</v>
      </c>
      <c r="D36" s="46" t="n">
        <f aca="false">D34/D33</f>
        <v>1.01922523867517</v>
      </c>
      <c r="E36" s="46" t="n">
        <f aca="false">E34/E33</f>
        <v>1.23280716686308</v>
      </c>
      <c r="F36" s="46" t="n">
        <f aca="false">F34/F33</f>
        <v>0.149121668709298</v>
      </c>
      <c r="G36" s="47" t="n">
        <f aca="false">G34/G33</f>
        <v>1.43282078685489</v>
      </c>
      <c r="H36" s="47" t="n">
        <f aca="false">H34/H33</f>
        <v>1.34020995843257</v>
      </c>
      <c r="I36" s="47" t="n">
        <f aca="false">I34/I33</f>
        <v>1.04809917773563</v>
      </c>
      <c r="J36" s="47" t="n">
        <f aca="false">J34/J33</f>
        <v>1.04925010275407</v>
      </c>
      <c r="K36" s="47" t="n">
        <f aca="false">K34/K33</f>
        <v>1.04883371695496</v>
      </c>
      <c r="L36" s="3" t="s">
        <v>117</v>
      </c>
    </row>
    <row r="37" customFormat="false" ht="15" hidden="false" customHeight="true" outlineLevel="0" collapsed="false">
      <c r="A37" s="4" t="s">
        <v>118</v>
      </c>
      <c r="B37" s="45"/>
      <c r="C37" s="48" t="n">
        <f aca="false">C35/C33</f>
        <v>1.13500183864114</v>
      </c>
      <c r="D37" s="48" t="n">
        <f aca="false">D35/D33</f>
        <v>1.00055745558043</v>
      </c>
      <c r="E37" s="48" t="n">
        <f aca="false">E35/E33</f>
        <v>0.969119807049114</v>
      </c>
      <c r="F37" s="48" t="n">
        <f aca="false">F35/F33</f>
        <v>0.91603618382287</v>
      </c>
      <c r="G37" s="49" t="n">
        <f aca="false">G35/G33</f>
        <v>0.952125382645499</v>
      </c>
      <c r="H37" s="49" t="n">
        <f aca="false">H35/H33</f>
        <v>1.03197771800469</v>
      </c>
      <c r="I37" s="49" t="n">
        <f aca="false">I35/I33</f>
        <v>1.03238241253637</v>
      </c>
      <c r="J37" s="49" t="n">
        <f aca="false">J35/J33</f>
        <v>1.03502696980785</v>
      </c>
      <c r="K37" s="49" t="n">
        <f aca="false">K35/K33</f>
        <v>1.03587784597991</v>
      </c>
      <c r="L37" s="3" t="s">
        <v>119</v>
      </c>
    </row>
    <row r="38" customFormat="false" ht="15" hidden="false" customHeight="true" outlineLevel="0" collapsed="false">
      <c r="A38" s="10" t="s">
        <v>120</v>
      </c>
      <c r="B38" s="14"/>
      <c r="C38" s="15" t="n">
        <f aca="false">(C19-B19)/(C11-B11)</f>
        <v>0.744284341978867</v>
      </c>
      <c r="D38" s="15" t="n">
        <f aca="false">(D19-C19)/(D11-C11)</f>
        <v>0.671851630272211</v>
      </c>
      <c r="E38" s="15" t="n">
        <f aca="false">(E19-D19)/(E11-D11)</f>
        <v>0.650779101741522</v>
      </c>
      <c r="F38" s="15" t="n">
        <f aca="false">(F19-E19)/(F11-E11)</f>
        <v>0.61340206185567</v>
      </c>
      <c r="G38" s="21" t="n">
        <f aca="false">(G19-F19)/(G11-F11)</f>
        <v>0.632116041538347</v>
      </c>
      <c r="H38" s="21" t="n">
        <f aca="false">(H19-G19)/(H11-G11)</f>
        <v>0.681105293883096</v>
      </c>
      <c r="I38" s="21" t="n">
        <f aca="false">(I19-H19)/(I11-H11)</f>
        <v>0.683437157099076</v>
      </c>
      <c r="J38" s="21" t="n">
        <f aca="false">(J19-I19)/(J11-I11)</f>
        <v>0.687257907952414</v>
      </c>
      <c r="K38" s="21" t="n">
        <f aca="false">(K19-J19)/(K11-J11)</f>
        <v>0.689894645422617</v>
      </c>
      <c r="L38" s="3" t="s">
        <v>121</v>
      </c>
    </row>
    <row r="39" customFormat="false" ht="15" hidden="false" customHeight="true" outlineLevel="0" collapsed="false">
      <c r="A39" s="4" t="s">
        <v>122</v>
      </c>
      <c r="B39" s="14"/>
      <c r="C39" s="14"/>
      <c r="D39" s="14"/>
      <c r="E39" s="14"/>
      <c r="F39" s="50" t="n">
        <f aca="false">(F19-B19)/(F11-B11)</f>
        <v>0.676250393205411</v>
      </c>
      <c r="G39" s="40"/>
      <c r="H39" s="40"/>
      <c r="I39" s="40"/>
      <c r="J39" s="40"/>
      <c r="K39" s="51" t="n">
        <f aca="false">(K19-F19)/(K11-F11)</f>
        <v>0.67422905285619</v>
      </c>
      <c r="L39" s="3" t="s">
        <v>123</v>
      </c>
    </row>
    <row r="40" customFormat="false" ht="15" hidden="false" customHeight="true" outlineLevel="0" collapsed="false">
      <c r="A40" s="10" t="s">
        <v>124</v>
      </c>
      <c r="B40" s="52"/>
      <c r="C40" s="53" t="n">
        <f aca="false">(C20-B20)*10000</f>
        <v>157.212442918084</v>
      </c>
      <c r="D40" s="53" t="n">
        <f aca="false">(D20-C20)*10000</f>
        <v>0.383225940315812</v>
      </c>
      <c r="E40" s="53" t="n">
        <f aca="false">(E20-D20)*10000</f>
        <v>-18.8917971336933</v>
      </c>
      <c r="F40" s="53" t="n">
        <f aca="false">(F20-E20)*10000</f>
        <v>-57.2645437844455</v>
      </c>
      <c r="G40" s="54" t="n">
        <f aca="false">(G20-F20)*10000</f>
        <v>-39.0000000000001</v>
      </c>
      <c r="H40" s="54" t="n">
        <f aca="false">(H20-G20)*10000</f>
        <v>20</v>
      </c>
      <c r="I40" s="54" t="n">
        <f aca="false">(I20-H20)*10000</f>
        <v>20</v>
      </c>
      <c r="J40" s="54" t="n">
        <f aca="false">(J20-I20)*10000</f>
        <v>20</v>
      </c>
      <c r="K40" s="54" t="n">
        <f aca="false">(K20-J20)*10000</f>
        <v>19.9999999999989</v>
      </c>
      <c r="L40" s="3"/>
    </row>
    <row r="42" customFormat="false" ht="15" hidden="false" customHeight="true" outlineLevel="0" collapsed="false">
      <c r="A42" s="8" t="s">
        <v>125</v>
      </c>
      <c r="B42" s="9"/>
      <c r="C42" s="9"/>
      <c r="D42" s="9"/>
      <c r="E42" s="9"/>
      <c r="F42" s="9"/>
      <c r="G42" s="9"/>
      <c r="H42" s="9"/>
      <c r="I42" s="9"/>
      <c r="J42" s="9"/>
      <c r="K42" s="9"/>
      <c r="L42" s="9"/>
    </row>
    <row r="43" customFormat="false" ht="15" hidden="false" customHeight="true" outlineLevel="0" collapsed="false">
      <c r="A43" s="10" t="s">
        <v>126</v>
      </c>
      <c r="B43" s="11" t="n">
        <f aca="false">Data!C39</f>
        <v>16487</v>
      </c>
      <c r="C43" s="11" t="n">
        <f aca="false">Data!D39</f>
        <v>15689</v>
      </c>
      <c r="D43" s="11" t="n">
        <f aca="false">Data!E39</f>
        <v>16286</v>
      </c>
      <c r="E43" s="11" t="n">
        <f aca="false">Data!F39</f>
        <v>11975</v>
      </c>
      <c r="F43" s="11" t="n">
        <f aca="false">Data!G39</f>
        <v>17164</v>
      </c>
      <c r="G43" s="12" t="n">
        <f aca="false">F43+G62-Tab4_Capital_Allocation!G11-Tab4_Capital_Allocation!G12-G53+(G49-F49)</f>
        <v>10718.7502238285</v>
      </c>
      <c r="H43" s="12" t="n">
        <f aca="false">G43+H62-Tab4_Capital_Allocation!H11-Tab4_Capital_Allocation!H12-H53+(H49-G49)</f>
        <v>11275.5242117589</v>
      </c>
      <c r="I43" s="12" t="n">
        <f aca="false">H43+I62-Tab4_Capital_Allocation!I11-Tab4_Capital_Allocation!I12-I53+(I49-H49)</f>
        <v>11979.2906956826</v>
      </c>
      <c r="J43" s="12" t="n">
        <f aca="false">I43+J62-Tab4_Capital_Allocation!J11-Tab4_Capital_Allocation!J12-J53+(J49-I49)</f>
        <v>12832.1178231289</v>
      </c>
      <c r="K43" s="12" t="n">
        <f aca="false">J43+K62-Tab4_Capital_Allocation!K11-Tab4_Capital_Allocation!K12-K53+(K49-J49)</f>
        <v>13843.894298771</v>
      </c>
      <c r="L43" s="3" t="s">
        <v>127</v>
      </c>
    </row>
    <row r="44" customFormat="false" ht="15" hidden="false" customHeight="true" outlineLevel="0" collapsed="false">
      <c r="A44" s="13" t="s">
        <v>128</v>
      </c>
      <c r="B44" s="55"/>
      <c r="C44" s="55"/>
      <c r="D44" s="55"/>
      <c r="E44" s="55"/>
      <c r="F44" s="55"/>
      <c r="G44" s="39" t="n">
        <v>5000</v>
      </c>
      <c r="H44" s="39" t="n">
        <v>5000</v>
      </c>
      <c r="I44" s="39" t="n">
        <v>5000</v>
      </c>
      <c r="J44" s="39" t="n">
        <v>5000</v>
      </c>
      <c r="K44" s="39" t="n">
        <v>5000</v>
      </c>
      <c r="L44" s="3" t="s">
        <v>129</v>
      </c>
    </row>
    <row r="45" customFormat="false" ht="15" hidden="false" customHeight="true" outlineLevel="0" collapsed="false">
      <c r="A45" s="13" t="s">
        <v>130</v>
      </c>
      <c r="B45" s="56"/>
      <c r="C45" s="56"/>
      <c r="D45" s="56"/>
      <c r="E45" s="56"/>
      <c r="F45" s="56"/>
      <c r="G45" s="57" t="n">
        <f aca="false">IF(G43&gt;=G44,1,0)</f>
        <v>1</v>
      </c>
      <c r="H45" s="57" t="n">
        <f aca="false">IF(H43&gt;=H44,1,0)</f>
        <v>1</v>
      </c>
      <c r="I45" s="57" t="n">
        <f aca="false">IF(I43&gt;=I44,1,0)</f>
        <v>1</v>
      </c>
      <c r="J45" s="57" t="n">
        <f aca="false">IF(J43&gt;=J44,1,0)</f>
        <v>1</v>
      </c>
      <c r="K45" s="57" t="n">
        <f aca="false">IF(K43&gt;=K44,1,0)</f>
        <v>1</v>
      </c>
      <c r="L45" s="3" t="s">
        <v>131</v>
      </c>
    </row>
    <row r="46" customFormat="false" ht="15" hidden="false" customHeight="true" outlineLevel="0" collapsed="false">
      <c r="A46" s="10" t="s">
        <v>132</v>
      </c>
      <c r="B46" s="11" t="n">
        <f aca="false">Data!C41+Data!C42</f>
        <v>3730</v>
      </c>
      <c r="C46" s="11" t="n">
        <f aca="false">Data!D41+Data!D42</f>
        <v>4969</v>
      </c>
      <c r="D46" s="11" t="n">
        <f aca="false">Data!E41+Data!E42</f>
        <v>5763</v>
      </c>
      <c r="E46" s="11" t="n">
        <f aca="false">Data!F41+Data!F42</f>
        <v>5745</v>
      </c>
      <c r="F46" s="11" t="n">
        <f aca="false">Data!G41+Data!G42</f>
        <v>2832</v>
      </c>
      <c r="G46" s="12" t="n">
        <f aca="false">F46</f>
        <v>2832</v>
      </c>
      <c r="H46" s="12" t="n">
        <f aca="false">G46</f>
        <v>2832</v>
      </c>
      <c r="I46" s="12" t="n">
        <f aca="false">H46</f>
        <v>2832</v>
      </c>
      <c r="J46" s="12" t="n">
        <f aca="false">I46</f>
        <v>2832</v>
      </c>
      <c r="K46" s="12" t="n">
        <f aca="false">J46</f>
        <v>2832</v>
      </c>
      <c r="L46" s="3" t="s">
        <v>133</v>
      </c>
    </row>
    <row r="47" customFormat="false" ht="15" hidden="false" customHeight="true" outlineLevel="0" collapsed="false">
      <c r="A47" s="4" t="s">
        <v>134</v>
      </c>
      <c r="B47" s="23" t="n">
        <f aca="false">B43+$B$5*B46</f>
        <v>20217</v>
      </c>
      <c r="C47" s="23" t="n">
        <f aca="false">C43+$B$5*C46</f>
        <v>20658</v>
      </c>
      <c r="D47" s="23" t="n">
        <f aca="false">D43+$B$5*D46</f>
        <v>22049</v>
      </c>
      <c r="E47" s="23" t="n">
        <f aca="false">E43+$B$5*E46</f>
        <v>17720</v>
      </c>
      <c r="F47" s="23" t="n">
        <f aca="false">F43+$B$5*F46</f>
        <v>19996</v>
      </c>
      <c r="G47" s="24" t="n">
        <f aca="false">G43+$B$5*G46</f>
        <v>13550.7502238285</v>
      </c>
      <c r="H47" s="24" t="n">
        <f aca="false">H43+$B$5*H46</f>
        <v>14107.5242117589</v>
      </c>
      <c r="I47" s="24" t="n">
        <f aca="false">I43+$B$5*I46</f>
        <v>14811.2906956826</v>
      </c>
      <c r="J47" s="24" t="n">
        <f aca="false">J43+$B$5*J46</f>
        <v>15664.1178231289</v>
      </c>
      <c r="K47" s="24" t="n">
        <f aca="false">K43+$B$5*K46</f>
        <v>16675.894298771</v>
      </c>
      <c r="L47" s="3" t="s">
        <v>135</v>
      </c>
    </row>
    <row r="48" customFormat="false" ht="15" hidden="false" customHeight="true" outlineLevel="0" collapsed="false">
      <c r="A48" s="10" t="s">
        <v>136</v>
      </c>
      <c r="B48" s="11" t="n">
        <f aca="false">Data!C40</f>
        <v>894</v>
      </c>
      <c r="C48" s="11" t="n">
        <f aca="false">Data!D40</f>
        <v>1449</v>
      </c>
      <c r="D48" s="11" t="n">
        <f aca="false">Data!E40</f>
        <v>1764</v>
      </c>
      <c r="E48" s="11" t="n">
        <f aca="false">Data!F40</f>
        <v>3089</v>
      </c>
      <c r="F48" s="11" t="n">
        <f aca="false">Data!G40</f>
        <v>2990</v>
      </c>
      <c r="G48" s="29"/>
      <c r="H48" s="29"/>
      <c r="I48" s="29"/>
      <c r="J48" s="29"/>
      <c r="K48" s="29"/>
      <c r="L48" s="3" t="s">
        <v>137</v>
      </c>
    </row>
    <row r="49" customFormat="false" ht="15" hidden="false" customHeight="true" outlineLevel="0" collapsed="false">
      <c r="A49" s="10" t="s">
        <v>138</v>
      </c>
      <c r="B49" s="11" t="n">
        <f aca="false">Data!C45+Data!C46</f>
        <v>20977</v>
      </c>
      <c r="C49" s="11" t="n">
        <f aca="false">Data!D45+Data!D46</f>
        <v>22450</v>
      </c>
      <c r="D49" s="11" t="n">
        <f aca="false">Data!E45+Data!E46</f>
        <v>20463</v>
      </c>
      <c r="E49" s="11" t="n">
        <f aca="false">Data!F45+Data!F46</f>
        <v>20836</v>
      </c>
      <c r="F49" s="11" t="n">
        <f aca="false">Data!G45+Data!G46</f>
        <v>25171</v>
      </c>
      <c r="G49" s="39" t="n">
        <v>23858</v>
      </c>
      <c r="H49" s="39" t="n">
        <v>23858</v>
      </c>
      <c r="I49" s="39" t="n">
        <v>23858</v>
      </c>
      <c r="J49" s="39" t="n">
        <v>23858</v>
      </c>
      <c r="K49" s="39" t="n">
        <v>23858</v>
      </c>
      <c r="L49" s="3" t="s">
        <v>139</v>
      </c>
    </row>
    <row r="50" customFormat="false" ht="15" hidden="false" customHeight="true" outlineLevel="0" collapsed="false">
      <c r="A50" s="10" t="s">
        <v>140</v>
      </c>
      <c r="B50" s="11" t="n">
        <f aca="false">Data!C48</f>
        <v>37589</v>
      </c>
      <c r="C50" s="11" t="n">
        <f aca="false">Data!D48</f>
        <v>35581</v>
      </c>
      <c r="D50" s="11" t="n">
        <f aca="false">Data!E48</f>
        <v>38733</v>
      </c>
      <c r="E50" s="11" t="n">
        <f aca="false">Data!F48</f>
        <v>39137</v>
      </c>
      <c r="F50" s="11" t="n">
        <f aca="false">Data!G48</f>
        <v>37909</v>
      </c>
      <c r="G50" s="12" t="n">
        <f aca="false">F50+G28-Tab4_Capital_Allocation!G11-Tab4_Capital_Allocation!G12</f>
        <v>35983.5556550349</v>
      </c>
      <c r="H50" s="12" t="n">
        <f aca="false">G50+H28-Tab4_Capital_Allocation!H11-Tab4_Capital_Allocation!H12</f>
        <v>37340.3296429653</v>
      </c>
      <c r="I50" s="12" t="n">
        <f aca="false">H50+I28-Tab4_Capital_Allocation!I11-Tab4_Capital_Allocation!I12</f>
        <v>38844.096126889</v>
      </c>
      <c r="J50" s="12" t="n">
        <f aca="false">I50+J28-Tab4_Capital_Allocation!J11-Tab4_Capital_Allocation!J12</f>
        <v>40496.9232543353</v>
      </c>
      <c r="K50" s="12" t="n">
        <f aca="false">J50+K28-Tab4_Capital_Allocation!K11-Tab4_Capital_Allocation!K12</f>
        <v>42308.6997299774</v>
      </c>
      <c r="L50" s="3" t="s">
        <v>141</v>
      </c>
    </row>
    <row r="51" customFormat="false" ht="15" hidden="false" customHeight="true" outlineLevel="0" collapsed="false">
      <c r="A51" s="25" t="s">
        <v>142</v>
      </c>
      <c r="B51" s="26" t="n">
        <f aca="false">B49+B50-B47</f>
        <v>38349</v>
      </c>
      <c r="C51" s="26" t="n">
        <f aca="false">C49+C50-C47</f>
        <v>37373</v>
      </c>
      <c r="D51" s="26" t="n">
        <f aca="false">D49+D50-D47</f>
        <v>37147</v>
      </c>
      <c r="E51" s="26" t="n">
        <f aca="false">E49+E50-E47</f>
        <v>42253</v>
      </c>
      <c r="F51" s="26" t="n">
        <f aca="false">F49+F50-F47</f>
        <v>43084</v>
      </c>
      <c r="G51" s="27" t="n">
        <f aca="false">G49+G50-G47</f>
        <v>46290.8054312064</v>
      </c>
      <c r="H51" s="27" t="n">
        <f aca="false">H49+H50-H47</f>
        <v>47090.8054312064</v>
      </c>
      <c r="I51" s="27" t="n">
        <f aca="false">I49+I50-I47</f>
        <v>47890.8054312064</v>
      </c>
      <c r="J51" s="27" t="n">
        <f aca="false">J49+J50-J47</f>
        <v>48690.8054312064</v>
      </c>
      <c r="K51" s="27" t="n">
        <f aca="false">K49+K50-K47</f>
        <v>49490.8054312064</v>
      </c>
      <c r="L51" s="3" t="s">
        <v>143</v>
      </c>
    </row>
    <row r="52" customFormat="false" ht="15" hidden="false" customHeight="true" outlineLevel="0" collapsed="false">
      <c r="A52" s="13" t="s">
        <v>144</v>
      </c>
      <c r="B52" s="55"/>
      <c r="C52" s="28" t="n">
        <f aca="false">AVERAGE(B51,C51)</f>
        <v>37861</v>
      </c>
      <c r="D52" s="28" t="n">
        <f aca="false">AVERAGE(C51,D51)</f>
        <v>37260</v>
      </c>
      <c r="E52" s="28" t="n">
        <f aca="false">AVERAGE(D51,E51)</f>
        <v>39700</v>
      </c>
      <c r="F52" s="28" t="n">
        <f aca="false">AVERAGE(E51,F51)</f>
        <v>42668.5</v>
      </c>
      <c r="G52" s="22" t="n">
        <f aca="false">AVERAGE(F51,G51)</f>
        <v>44687.4027156032</v>
      </c>
      <c r="H52" s="22" t="n">
        <f aca="false">AVERAGE(G51,H51)</f>
        <v>46690.8054312064</v>
      </c>
      <c r="I52" s="22" t="n">
        <f aca="false">AVERAGE(H51,I51)</f>
        <v>47490.8054312064</v>
      </c>
      <c r="J52" s="22" t="n">
        <f aca="false">AVERAGE(I51,J51)</f>
        <v>48290.8054312064</v>
      </c>
      <c r="K52" s="22" t="n">
        <f aca="false">AVERAGE(J51,K51)</f>
        <v>49090.8054312064</v>
      </c>
      <c r="L52" s="3" t="s">
        <v>145</v>
      </c>
    </row>
    <row r="53" customFormat="false" ht="15" hidden="false" customHeight="true" outlineLevel="0" collapsed="false">
      <c r="A53" s="10" t="s">
        <v>146</v>
      </c>
      <c r="B53" s="55"/>
      <c r="C53" s="55"/>
      <c r="D53" s="55"/>
      <c r="E53" s="55"/>
      <c r="F53" s="55"/>
      <c r="G53" s="39" t="n">
        <v>800</v>
      </c>
      <c r="H53" s="39" t="n">
        <v>800</v>
      </c>
      <c r="I53" s="39" t="n">
        <v>800</v>
      </c>
      <c r="J53" s="39" t="n">
        <v>800</v>
      </c>
      <c r="K53" s="39" t="n">
        <v>800</v>
      </c>
      <c r="L53" s="3" t="s">
        <v>147</v>
      </c>
    </row>
    <row r="54" customFormat="false" ht="15" hidden="false" customHeight="true" outlineLevel="0" collapsed="false">
      <c r="A54" s="10" t="s">
        <v>148</v>
      </c>
      <c r="B54" s="11" t="n">
        <f aca="false">Data!C43</f>
        <v>15958</v>
      </c>
      <c r="C54" s="11" t="n">
        <f aca="false">Data!D43</f>
        <v>17787</v>
      </c>
      <c r="D54" s="11" t="n">
        <f aca="false">Data!E43</f>
        <v>17997</v>
      </c>
      <c r="E54" s="11" t="n">
        <f aca="false">Data!F43</f>
        <v>18941</v>
      </c>
      <c r="F54" s="11" t="n">
        <f aca="false">Data!G43</f>
        <v>19879</v>
      </c>
      <c r="G54" s="12" t="n">
        <f aca="false">F54+G53</f>
        <v>20679</v>
      </c>
      <c r="H54" s="12" t="n">
        <f aca="false">G54+H53</f>
        <v>21479</v>
      </c>
      <c r="I54" s="12" t="n">
        <f aca="false">H54+I53</f>
        <v>22279</v>
      </c>
      <c r="J54" s="12" t="n">
        <f aca="false">I54+J53</f>
        <v>23079</v>
      </c>
      <c r="K54" s="12" t="n">
        <f aca="false">J54+K53</f>
        <v>23879</v>
      </c>
      <c r="L54" s="3" t="s">
        <v>149</v>
      </c>
    </row>
    <row r="55" customFormat="false" ht="15" hidden="false" customHeight="true" outlineLevel="0" collapsed="false">
      <c r="A55" s="10" t="s">
        <v>150</v>
      </c>
      <c r="B55" s="11" t="n">
        <f aca="false">Data!C44</f>
        <v>27664</v>
      </c>
      <c r="C55" s="11" t="n">
        <f aca="false">Data!D44</f>
        <v>25065</v>
      </c>
      <c r="D55" s="11" t="n">
        <f aca="false">Data!E44</f>
        <v>26104</v>
      </c>
      <c r="E55" s="11" t="n">
        <f aca="false">Data!F44</f>
        <v>26889</v>
      </c>
      <c r="F55" s="11" t="n">
        <f aca="false">Data!G44</f>
        <v>27646</v>
      </c>
      <c r="G55" s="12" t="n">
        <f aca="false">F55</f>
        <v>27646</v>
      </c>
      <c r="H55" s="12" t="n">
        <f aca="false">G55</f>
        <v>27646</v>
      </c>
      <c r="I55" s="12" t="n">
        <f aca="false">H55</f>
        <v>27646</v>
      </c>
      <c r="J55" s="12" t="n">
        <f aca="false">I55</f>
        <v>27646</v>
      </c>
      <c r="K55" s="12" t="n">
        <f aca="false">J55</f>
        <v>27646</v>
      </c>
      <c r="L55" s="3" t="s">
        <v>151</v>
      </c>
    </row>
    <row r="56" customFormat="false" ht="15" hidden="false" customHeight="true" outlineLevel="0" collapsed="false">
      <c r="A56" s="10" t="s">
        <v>152</v>
      </c>
      <c r="B56" s="28" t="n">
        <f aca="false">B51-B54</f>
        <v>22391</v>
      </c>
      <c r="C56" s="28" t="n">
        <f aca="false">C51-C54</f>
        <v>19586</v>
      </c>
      <c r="D56" s="28" t="n">
        <f aca="false">D51-D54</f>
        <v>19150</v>
      </c>
      <c r="E56" s="28" t="n">
        <f aca="false">E51-E54</f>
        <v>23312</v>
      </c>
      <c r="F56" s="28" t="n">
        <f aca="false">F51-F54</f>
        <v>23205</v>
      </c>
      <c r="G56" s="22" t="n">
        <f aca="false">G51-G54</f>
        <v>25611.8054312064</v>
      </c>
      <c r="H56" s="22" t="n">
        <f aca="false">H51-H54</f>
        <v>25611.8054312064</v>
      </c>
      <c r="I56" s="22" t="n">
        <f aca="false">I51-I54</f>
        <v>25611.8054312064</v>
      </c>
      <c r="J56" s="22" t="n">
        <f aca="false">J51-J54</f>
        <v>25611.8054312064</v>
      </c>
      <c r="K56" s="22" t="n">
        <f aca="false">K51-K54</f>
        <v>25611.8054312064</v>
      </c>
      <c r="L56" s="3" t="s">
        <v>153</v>
      </c>
    </row>
    <row r="57" customFormat="false" ht="15" hidden="false" customHeight="true" outlineLevel="0" collapsed="false">
      <c r="A57" s="10" t="s">
        <v>154</v>
      </c>
      <c r="B57" s="28" t="n">
        <f aca="false">B51-B54-B55</f>
        <v>-5273</v>
      </c>
      <c r="C57" s="28" t="n">
        <f aca="false">C51-C54-C55</f>
        <v>-5479</v>
      </c>
      <c r="D57" s="28" t="n">
        <f aca="false">D51-D54-D55</f>
        <v>-6954</v>
      </c>
      <c r="E57" s="28" t="n">
        <f aca="false">E51-E54-E55</f>
        <v>-3577</v>
      </c>
      <c r="F57" s="28" t="n">
        <f aca="false">F51-F54-F55</f>
        <v>-4441</v>
      </c>
      <c r="G57" s="22" t="n">
        <f aca="false">G51-G54-G55</f>
        <v>-2034.19456879361</v>
      </c>
      <c r="H57" s="22" t="n">
        <f aca="false">H51-H54-H55</f>
        <v>-2034.1945687936</v>
      </c>
      <c r="I57" s="22" t="n">
        <f aca="false">I51-I54-I55</f>
        <v>-2034.19456879361</v>
      </c>
      <c r="J57" s="22" t="n">
        <f aca="false">J51-J54-J55</f>
        <v>-2034.19456879361</v>
      </c>
      <c r="K57" s="22" t="n">
        <f aca="false">K51-K54-K55</f>
        <v>-2034.19456879362</v>
      </c>
      <c r="L57" s="3" t="s">
        <v>155</v>
      </c>
    </row>
    <row r="59" customFormat="false" ht="15" hidden="false" customHeight="true" outlineLevel="0" collapsed="false">
      <c r="A59" s="8" t="s">
        <v>156</v>
      </c>
      <c r="B59" s="9"/>
      <c r="C59" s="9"/>
      <c r="D59" s="9"/>
      <c r="E59" s="9"/>
      <c r="F59" s="9"/>
      <c r="G59" s="9"/>
      <c r="H59" s="9"/>
      <c r="I59" s="9"/>
      <c r="J59" s="9"/>
      <c r="K59" s="9"/>
      <c r="L59" s="9"/>
    </row>
    <row r="60" customFormat="false" ht="15" hidden="false" customHeight="true" outlineLevel="0" collapsed="false">
      <c r="A60" s="10" t="s">
        <v>157</v>
      </c>
      <c r="B60" s="11" t="n">
        <f aca="false">Data!C52</f>
        <v>15227</v>
      </c>
      <c r="C60" s="11" t="n">
        <f aca="false">Data!D52</f>
        <v>18849</v>
      </c>
      <c r="D60" s="11" t="n">
        <f aca="false">Data!E52</f>
        <v>20755</v>
      </c>
      <c r="E60" s="11" t="n">
        <f aca="false">Data!F52</f>
        <v>19950</v>
      </c>
      <c r="F60" s="11" t="n">
        <f aca="false">Data!G52</f>
        <v>23059</v>
      </c>
      <c r="G60" s="12" t="n">
        <f aca="false">G62+G61</f>
        <v>23257.0603904576</v>
      </c>
      <c r="H60" s="12" t="n">
        <f aca="false">H62+H61</f>
        <v>28948.7132447755</v>
      </c>
      <c r="I60" s="12" t="n">
        <f aca="false">I62+I61</f>
        <v>32075.1371041269</v>
      </c>
      <c r="J60" s="12" t="n">
        <f aca="false">J62+J61</f>
        <v>35244.4971271693</v>
      </c>
      <c r="K60" s="12" t="n">
        <f aca="false">K62+K61</f>
        <v>38623.3461611036</v>
      </c>
      <c r="L60" s="3" t="s">
        <v>158</v>
      </c>
    </row>
    <row r="61" customFormat="false" ht="15" hidden="false" customHeight="true" outlineLevel="0" collapsed="false">
      <c r="A61" s="10" t="s">
        <v>159</v>
      </c>
      <c r="B61" s="11" t="n">
        <f aca="false">Data!C53</f>
        <v>705</v>
      </c>
      <c r="C61" s="11" t="n">
        <f aca="false">Data!D53</f>
        <v>970</v>
      </c>
      <c r="D61" s="11" t="n">
        <f aca="false">Data!E53</f>
        <v>1059</v>
      </c>
      <c r="E61" s="11" t="n">
        <f aca="false">Data!F53</f>
        <v>1257</v>
      </c>
      <c r="F61" s="11" t="n">
        <f aca="false">Data!G53</f>
        <v>1482</v>
      </c>
      <c r="G61" s="12" t="n">
        <f aca="false">G11*G65</f>
        <v>1595.8115096</v>
      </c>
      <c r="H61" s="12" t="n">
        <f aca="false">H11*H65</f>
        <v>1813.233486168</v>
      </c>
      <c r="I61" s="12" t="n">
        <f aca="false">I11*I65</f>
        <v>1999.8074256516</v>
      </c>
      <c r="J61" s="12" t="n">
        <f aca="false">J11*J65</f>
        <v>2187.9545782433</v>
      </c>
      <c r="K61" s="12" t="n">
        <f aca="false">K11*K65</f>
        <v>2387.81664826186</v>
      </c>
      <c r="L61" s="3" t="s">
        <v>160</v>
      </c>
    </row>
    <row r="62" customFormat="false" ht="15" hidden="false" customHeight="true" outlineLevel="0" collapsed="false">
      <c r="A62" s="25" t="s">
        <v>161</v>
      </c>
      <c r="B62" s="26" t="n">
        <f aca="false">B60-B61</f>
        <v>14522</v>
      </c>
      <c r="C62" s="26" t="n">
        <f aca="false">C60-C61</f>
        <v>17879</v>
      </c>
      <c r="D62" s="26" t="n">
        <f aca="false">D60-D61</f>
        <v>19696</v>
      </c>
      <c r="E62" s="26" t="n">
        <f aca="false">E60-E61</f>
        <v>18693</v>
      </c>
      <c r="F62" s="26" t="n">
        <f aca="false">F60-F61</f>
        <v>21577</v>
      </c>
      <c r="G62" s="27" t="n">
        <f aca="false">G28*G64</f>
        <v>21661.2488808576</v>
      </c>
      <c r="H62" s="27" t="n">
        <f aca="false">H28*H64</f>
        <v>27135.4797586075</v>
      </c>
      <c r="I62" s="27" t="n">
        <f aca="false">I28*I64</f>
        <v>30075.3296784753</v>
      </c>
      <c r="J62" s="27" t="n">
        <f aca="false">J28*J64</f>
        <v>33056.5425489259</v>
      </c>
      <c r="K62" s="27" t="n">
        <f aca="false">K28*K64</f>
        <v>36235.5295128418</v>
      </c>
      <c r="L62" s="3" t="s">
        <v>162</v>
      </c>
    </row>
    <row r="63" customFormat="false" ht="15" hidden="false" customHeight="true" outlineLevel="0" collapsed="false">
      <c r="A63" s="13" t="s">
        <v>163</v>
      </c>
      <c r="B63" s="15" t="n">
        <f aca="false">B62/B11</f>
        <v>0.602447624974072</v>
      </c>
      <c r="C63" s="15" t="n">
        <f aca="false">C62/C11</f>
        <v>0.609996588195155</v>
      </c>
      <c r="D63" s="15" t="n">
        <f aca="false">D62/D11</f>
        <v>0.603191130983371</v>
      </c>
      <c r="E63" s="15" t="n">
        <f aca="false">E62/E11</f>
        <v>0.520319545732895</v>
      </c>
      <c r="F63" s="15" t="n">
        <f aca="false">F62/F11</f>
        <v>0.539425</v>
      </c>
      <c r="G63" s="21" t="n">
        <f aca="false">G62/G11</f>
        <v>0.475083495932455</v>
      </c>
      <c r="H63" s="21" t="n">
        <f aca="false">H62/H11</f>
        <v>0.53874874844406</v>
      </c>
      <c r="I63" s="21" t="n">
        <f aca="false">I62/I11</f>
        <v>0.54140806486521</v>
      </c>
      <c r="J63" s="21" t="n">
        <f aca="false">J62/J11</f>
        <v>0.543903216088154</v>
      </c>
      <c r="K63" s="21" t="n">
        <f aca="false">K62/K11</f>
        <v>0.546306209654691</v>
      </c>
      <c r="L63" s="3"/>
    </row>
    <row r="64" customFormat="false" ht="15" hidden="false" customHeight="true" outlineLevel="0" collapsed="false">
      <c r="A64" s="4" t="s">
        <v>164</v>
      </c>
      <c r="B64" s="50" t="n">
        <f aca="false">B62/B28</f>
        <v>1.17959548371375</v>
      </c>
      <c r="C64" s="50" t="n">
        <f aca="false">C62/C28</f>
        <v>1.195360032092</v>
      </c>
      <c r="D64" s="50" t="n">
        <f aca="false">D62/D28</f>
        <v>1.14027673247265</v>
      </c>
      <c r="E64" s="50" t="n">
        <f aca="false">E62/E28</f>
        <v>0.946816593222914</v>
      </c>
      <c r="F64" s="50" t="n">
        <f aca="false">F62/F28</f>
        <v>1.07573038189251</v>
      </c>
      <c r="G64" s="58" t="n">
        <v>0.9</v>
      </c>
      <c r="H64" s="58" t="n">
        <v>1</v>
      </c>
      <c r="I64" s="58" t="n">
        <v>1</v>
      </c>
      <c r="J64" s="58" t="n">
        <v>1</v>
      </c>
      <c r="K64" s="58" t="n">
        <v>1</v>
      </c>
      <c r="L64" s="3" t="s">
        <v>165</v>
      </c>
    </row>
    <row r="65" customFormat="false" ht="15" hidden="false" customHeight="true" outlineLevel="0" collapsed="false">
      <c r="A65" s="4" t="s">
        <v>166</v>
      </c>
      <c r="B65" s="50" t="n">
        <f aca="false">B61/B11</f>
        <v>0.029247044181705</v>
      </c>
      <c r="C65" s="50" t="n">
        <f aca="false">C61/C11</f>
        <v>0.0330945069941999</v>
      </c>
      <c r="D65" s="50" t="n">
        <f aca="false">D61/D11</f>
        <v>0.0324319358098796</v>
      </c>
      <c r="E65" s="50" t="n">
        <f aca="false">E61/E11</f>
        <v>0.0349885876523966</v>
      </c>
      <c r="F65" s="50" t="n">
        <f aca="false">F61/F11</f>
        <v>0.03705</v>
      </c>
      <c r="G65" s="58" t="n">
        <v>0.035</v>
      </c>
      <c r="H65" s="58" t="n">
        <v>0.036</v>
      </c>
      <c r="I65" s="58" t="n">
        <v>0.036</v>
      </c>
      <c r="J65" s="58" t="n">
        <v>0.036</v>
      </c>
      <c r="K65" s="58" t="n">
        <v>0.036</v>
      </c>
      <c r="L65" s="3" t="s">
        <v>167</v>
      </c>
    </row>
    <row r="66" customFormat="false" ht="15" hidden="false" customHeight="true" outlineLevel="0" collapsed="false">
      <c r="A66" s="10" t="s">
        <v>168</v>
      </c>
      <c r="B66" s="46" t="n">
        <f aca="false">B61/Data!C24</f>
        <v>0.876865671641791</v>
      </c>
      <c r="C66" s="46" t="n">
        <f aca="false">C61/Data!D24</f>
        <v>1.12659698025552</v>
      </c>
      <c r="D66" s="46" t="n">
        <f aca="false">D61/Data!E24</f>
        <v>1.12301166489926</v>
      </c>
      <c r="E66" s="46" t="n">
        <f aca="false">E61/Data!F24</f>
        <v>1.21566731141199</v>
      </c>
      <c r="F66" s="46" t="n">
        <f aca="false">F61/Data!G24</f>
        <v>1.21475409836066</v>
      </c>
      <c r="G66" s="59"/>
      <c r="H66" s="59"/>
      <c r="I66" s="59"/>
      <c r="J66" s="59"/>
      <c r="K66" s="59"/>
      <c r="L66" s="3" t="s">
        <v>169</v>
      </c>
    </row>
    <row r="67" customFormat="false" ht="15" hidden="false" customHeight="true" outlineLevel="0" collapsed="false">
      <c r="A67" s="10" t="s">
        <v>170</v>
      </c>
      <c r="B67" s="14"/>
      <c r="C67" s="15" t="n">
        <f aca="false">(C62-B62)/(C11-B11)</f>
        <v>0.644956772334294</v>
      </c>
      <c r="D67" s="15" t="n">
        <f aca="false">(D62-C62)/(D11-C11)</f>
        <v>0.543523781034999</v>
      </c>
      <c r="E67" s="15" t="n">
        <f aca="false">(E62-D62)/(E11-D11)</f>
        <v>-0.306446684998472</v>
      </c>
      <c r="F67" s="15" t="n">
        <f aca="false">(F62-E62)/(F11-E11)</f>
        <v>0.707903780068729</v>
      </c>
      <c r="G67" s="21" t="n">
        <f aca="false">(G62-F62)/(G11-F11)</f>
        <v>0.0150589249632951</v>
      </c>
      <c r="H67" s="21" t="n">
        <f aca="false">(H62-G62)/(H11-G11)</f>
        <v>1.14692042813193</v>
      </c>
      <c r="I67" s="21" t="n">
        <f aca="false">(I62-H62)/(I11-H11)</f>
        <v>0.567252840392232</v>
      </c>
      <c r="J67" s="21" t="n">
        <f aca="false">(J62-I62)/(J11-I11)</f>
        <v>0.570424063600504</v>
      </c>
      <c r="K67" s="21" t="n">
        <f aca="false">(K62-J62)/(K11-J11)</f>
        <v>0.572612555700772</v>
      </c>
      <c r="L67" s="3" t="s">
        <v>171</v>
      </c>
    </row>
    <row r="68" customFormat="false" ht="15" hidden="false" customHeight="true" outlineLevel="0" collapsed="false">
      <c r="A68" s="4" t="s">
        <v>172</v>
      </c>
      <c r="B68" s="14"/>
      <c r="C68" s="14"/>
      <c r="D68" s="14"/>
      <c r="E68" s="14"/>
      <c r="F68" s="50" t="n">
        <f aca="false">(F62-B62)/(F11-B11)</f>
        <v>0.443850267379679</v>
      </c>
      <c r="G68" s="40"/>
      <c r="H68" s="40"/>
      <c r="I68" s="40"/>
      <c r="J68" s="40"/>
      <c r="K68" s="51" t="n">
        <f aca="false">(K62-F62)/(K11-F11)</f>
        <v>0.556760702009227</v>
      </c>
      <c r="L68" s="3" t="s">
        <v>123</v>
      </c>
    </row>
    <row r="70" customFormat="false" ht="15" hidden="false" customHeight="true" outlineLevel="0" collapsed="false">
      <c r="A70" s="4" t="s">
        <v>64</v>
      </c>
    </row>
    <row r="71" customFormat="false" ht="15" hidden="false" customHeight="true" outlineLevel="0" collapsed="false">
      <c r="A71" s="3" t="s">
        <v>173</v>
      </c>
    </row>
    <row r="72" customFormat="false" ht="15" hidden="false" customHeight="true" outlineLevel="0" collapsed="false">
      <c r="A72" s="3" t="s">
        <v>174</v>
      </c>
    </row>
    <row r="73" customFormat="false" ht="15" hidden="false" customHeight="true" outlineLevel="0" collapsed="false">
      <c r="A73" s="3" t="s">
        <v>175</v>
      </c>
    </row>
    <row r="74" customFormat="false" ht="15" hidden="false" customHeight="true" outlineLevel="0" collapsed="false">
      <c r="A74" s="3" t="s">
        <v>176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11" min="2" style="1" width="11"/>
    <col collapsed="false" customWidth="true" hidden="false" outlineLevel="0" max="12" min="12" style="1" width="70"/>
  </cols>
  <sheetData>
    <row r="1" customFormat="false" ht="17.25" hidden="false" customHeight="true" outlineLevel="0" collapsed="false">
      <c r="A1" s="2" t="s">
        <v>177</v>
      </c>
    </row>
    <row r="2" customFormat="false" ht="15" hidden="false" customHeight="true" outlineLevel="0" collapsed="false">
      <c r="A2" s="3" t="s">
        <v>178</v>
      </c>
    </row>
    <row r="4" customFormat="false" ht="15" hidden="false" customHeight="true" outlineLevel="0" collapsed="false">
      <c r="A4" s="60" t="s">
        <v>179</v>
      </c>
      <c r="B4" s="61"/>
      <c r="C4" s="61"/>
      <c r="D4" s="61"/>
      <c r="E4" s="61"/>
      <c r="F4" s="61"/>
      <c r="G4" s="61"/>
      <c r="H4" s="61"/>
      <c r="I4" s="61"/>
      <c r="J4" s="61"/>
      <c r="K4" s="61"/>
      <c r="L4" s="61"/>
    </row>
    <row r="5" customFormat="false" ht="15" hidden="false" customHeight="true" outlineLevel="0" collapsed="false">
      <c r="A5" s="8" t="s">
        <v>180</v>
      </c>
      <c r="B5" s="9"/>
      <c r="C5" s="9"/>
      <c r="D5" s="9"/>
      <c r="E5" s="9"/>
      <c r="F5" s="9"/>
      <c r="G5" s="9"/>
      <c r="H5" s="9"/>
      <c r="I5" s="9"/>
      <c r="J5" s="9"/>
      <c r="K5" s="9"/>
      <c r="L5" s="9"/>
    </row>
    <row r="6" customFormat="false" ht="15" hidden="false" customHeight="true" outlineLevel="0" collapsed="false">
      <c r="A6" s="10" t="s">
        <v>181</v>
      </c>
      <c r="B6" s="62" t="n">
        <v>0.0519</v>
      </c>
      <c r="C6" s="3" t="s">
        <v>182</v>
      </c>
    </row>
    <row r="7" customFormat="false" ht="15" hidden="false" customHeight="true" outlineLevel="0" collapsed="false">
      <c r="A7" s="10" t="s">
        <v>183</v>
      </c>
      <c r="B7" s="63" t="n">
        <v>0.77</v>
      </c>
      <c r="C7" s="3" t="s">
        <v>184</v>
      </c>
    </row>
    <row r="8" customFormat="false" ht="15" hidden="false" customHeight="true" outlineLevel="0" collapsed="false">
      <c r="A8" s="10" t="s">
        <v>185</v>
      </c>
      <c r="B8" s="64" t="n">
        <v>0.67</v>
      </c>
      <c r="C8" s="3" t="s">
        <v>186</v>
      </c>
    </row>
    <row r="9" customFormat="false" ht="15" hidden="false" customHeight="true" outlineLevel="0" collapsed="false">
      <c r="A9" s="4" t="s">
        <v>187</v>
      </c>
      <c r="B9" s="65" t="n">
        <f aca="false">$B$7*$B$8+(1-$B$8)*1</f>
        <v>0.8459</v>
      </c>
      <c r="C9" s="3" t="s">
        <v>188</v>
      </c>
    </row>
    <row r="10" customFormat="false" ht="15" hidden="false" customHeight="true" outlineLevel="0" collapsed="false">
      <c r="A10" s="10" t="s">
        <v>189</v>
      </c>
      <c r="B10" s="66" t="n">
        <v>0.055</v>
      </c>
      <c r="C10" s="3" t="s">
        <v>190</v>
      </c>
    </row>
    <row r="11" customFormat="false" ht="15" hidden="false" customHeight="true" outlineLevel="0" collapsed="false">
      <c r="A11" s="4" t="s">
        <v>191</v>
      </c>
      <c r="B11" s="67" t="n">
        <f aca="false">$B$6+$B$9*$B$10</f>
        <v>0.0984245</v>
      </c>
      <c r="C11" s="3" t="s">
        <v>192</v>
      </c>
    </row>
    <row r="12" customFormat="false" ht="15" hidden="false" customHeight="true" outlineLevel="0" collapsed="false">
      <c r="A12" s="8" t="s">
        <v>193</v>
      </c>
      <c r="B12" s="9"/>
      <c r="C12" s="9"/>
      <c r="D12" s="9"/>
      <c r="E12" s="9"/>
      <c r="F12" s="9"/>
      <c r="G12" s="9"/>
      <c r="H12" s="9"/>
      <c r="I12" s="9"/>
      <c r="J12" s="9"/>
      <c r="K12" s="9"/>
      <c r="L12" s="9"/>
    </row>
    <row r="13" customFormat="false" ht="15" hidden="false" customHeight="true" outlineLevel="0" collapsed="false">
      <c r="A13" s="10" t="s">
        <v>194</v>
      </c>
      <c r="B13" s="66" t="n">
        <v>0.0542</v>
      </c>
      <c r="C13" s="3" t="s">
        <v>195</v>
      </c>
    </row>
    <row r="14" customFormat="false" ht="15" hidden="false" customHeight="true" outlineLevel="0" collapsed="false">
      <c r="A14" s="10" t="s">
        <v>196</v>
      </c>
      <c r="B14" s="68" t="n">
        <f aca="false">$B$13</f>
        <v>0.0542</v>
      </c>
      <c r="C14" s="3" t="s">
        <v>197</v>
      </c>
    </row>
    <row r="15" customFormat="false" ht="15" hidden="false" customHeight="true" outlineLevel="0" collapsed="false">
      <c r="A15" s="10" t="s">
        <v>198</v>
      </c>
      <c r="B15" s="69" t="n">
        <f aca="false">Tab2_Core_Returns!F27</f>
        <v>0.170951475572456</v>
      </c>
      <c r="C15" s="3" t="s">
        <v>199</v>
      </c>
    </row>
    <row r="16" customFormat="false" ht="15" hidden="false" customHeight="true" outlineLevel="0" collapsed="false">
      <c r="A16" s="4" t="s">
        <v>200</v>
      </c>
      <c r="B16" s="67" t="n">
        <f aca="false">$B$14*(1-$B$15)</f>
        <v>0.0449344300239729</v>
      </c>
      <c r="C16" s="3" t="s">
        <v>201</v>
      </c>
    </row>
    <row r="17" customFormat="false" ht="15" hidden="false" customHeight="true" outlineLevel="0" collapsed="false">
      <c r="A17" s="10" t="s">
        <v>202</v>
      </c>
      <c r="B17" s="70" t="n">
        <v>566</v>
      </c>
      <c r="C17" s="3" t="s">
        <v>203</v>
      </c>
    </row>
    <row r="18" customFormat="false" ht="15" hidden="false" customHeight="true" outlineLevel="0" collapsed="false">
      <c r="A18" s="8" t="s">
        <v>204</v>
      </c>
      <c r="B18" s="9"/>
      <c r="C18" s="9"/>
      <c r="D18" s="9"/>
      <c r="E18" s="9"/>
      <c r="F18" s="9"/>
      <c r="G18" s="9"/>
      <c r="H18" s="9"/>
      <c r="I18" s="9"/>
      <c r="J18" s="9"/>
      <c r="K18" s="9"/>
      <c r="L18" s="9"/>
    </row>
    <row r="19" customFormat="false" ht="15" hidden="false" customHeight="true" outlineLevel="0" collapsed="false">
      <c r="A19" s="10" t="s">
        <v>205</v>
      </c>
      <c r="B19" s="71" t="n">
        <v>391.43</v>
      </c>
      <c r="C19" s="3" t="s">
        <v>206</v>
      </c>
    </row>
    <row r="20" customFormat="false" ht="15" hidden="false" customHeight="true" outlineLevel="0" collapsed="false">
      <c r="A20" s="10" t="s">
        <v>207</v>
      </c>
      <c r="B20" s="70" t="n">
        <v>1880</v>
      </c>
      <c r="C20" s="3" t="s">
        <v>208</v>
      </c>
    </row>
    <row r="21" customFormat="false" ht="15" hidden="false" customHeight="true" outlineLevel="0" collapsed="false">
      <c r="A21" s="4" t="s">
        <v>209</v>
      </c>
      <c r="B21" s="23" t="n">
        <f aca="false">$B$19*$B$20</f>
        <v>735888.4</v>
      </c>
      <c r="C21" s="3" t="s">
        <v>210</v>
      </c>
    </row>
    <row r="22" customFormat="false" ht="15" hidden="false" customHeight="true" outlineLevel="0" collapsed="false">
      <c r="A22" s="10" t="s">
        <v>211</v>
      </c>
      <c r="B22" s="70" t="n">
        <v>23858</v>
      </c>
      <c r="C22" s="3" t="s">
        <v>212</v>
      </c>
    </row>
    <row r="23" customFormat="false" ht="15" hidden="false" customHeight="true" outlineLevel="0" collapsed="false">
      <c r="A23" s="10" t="s">
        <v>213</v>
      </c>
      <c r="B23" s="68" t="n">
        <f aca="false">$B$17/0.75/$B$22</f>
        <v>0.0316315980663369</v>
      </c>
      <c r="C23" s="3" t="s">
        <v>214</v>
      </c>
    </row>
    <row r="24" customFormat="false" ht="15" hidden="false" customHeight="true" outlineLevel="0" collapsed="false">
      <c r="A24" s="10" t="s">
        <v>215</v>
      </c>
      <c r="B24" s="15" t="n">
        <f aca="false">$B$21/($B$21+$B$22)</f>
        <v>0.968597416190455</v>
      </c>
      <c r="C24" s="3" t="s">
        <v>216</v>
      </c>
    </row>
    <row r="25" customFormat="false" ht="15" hidden="false" customHeight="true" outlineLevel="0" collapsed="false">
      <c r="A25" s="10" t="s">
        <v>217</v>
      </c>
      <c r="B25" s="15" t="n">
        <f aca="false">1-$B$24</f>
        <v>0.0314025838095449</v>
      </c>
      <c r="C25" s="3" t="s">
        <v>218</v>
      </c>
    </row>
    <row r="26" customFormat="false" ht="15" hidden="false" customHeight="true" outlineLevel="0" collapsed="false">
      <c r="A26" s="72" t="s">
        <v>219</v>
      </c>
      <c r="B26" s="73" t="n">
        <f aca="false">$B$24*$B$11+$B$25*$B$16</f>
        <v>0.0967447735945994</v>
      </c>
      <c r="C26" s="3" t="s">
        <v>220</v>
      </c>
    </row>
    <row r="27" customFormat="false" ht="15" hidden="false" customHeight="true" outlineLevel="0" collapsed="false">
      <c r="A27" s="74" t="s">
        <v>221</v>
      </c>
      <c r="B27" s="68" t="n">
        <f aca="false">$B$14-$B$6</f>
        <v>0.0023</v>
      </c>
      <c r="C27" s="3" t="s">
        <v>222</v>
      </c>
    </row>
    <row r="28" customFormat="false" ht="15" hidden="false" customHeight="true" outlineLevel="0" collapsed="false">
      <c r="A28" s="74" t="s">
        <v>223</v>
      </c>
      <c r="B28" s="62" t="n">
        <v>0.042</v>
      </c>
      <c r="C28" s="3" t="s">
        <v>224</v>
      </c>
    </row>
    <row r="29" customFormat="false" ht="15" hidden="false" customHeight="true" outlineLevel="0" collapsed="false">
      <c r="A29" s="74" t="s">
        <v>225</v>
      </c>
      <c r="B29" s="68" t="n">
        <f aca="false">$B$24*($B$6+$B$9*$B$28)+$B$25*$B$16</f>
        <v>0.0860933983879778</v>
      </c>
      <c r="C29" s="3" t="s">
        <v>226</v>
      </c>
    </row>
    <row r="31" customFormat="false" ht="15" hidden="false" customHeight="true" outlineLevel="0" collapsed="false">
      <c r="A31" s="75" t="s">
        <v>4</v>
      </c>
      <c r="B31" s="76" t="s">
        <v>5</v>
      </c>
      <c r="C31" s="76" t="s">
        <v>6</v>
      </c>
      <c r="D31" s="76" t="s">
        <v>7</v>
      </c>
      <c r="E31" s="76" t="s">
        <v>8</v>
      </c>
      <c r="F31" s="76" t="s">
        <v>9</v>
      </c>
      <c r="G31" s="77" t="s">
        <v>10</v>
      </c>
      <c r="H31" s="77" t="s">
        <v>11</v>
      </c>
      <c r="I31" s="77" t="s">
        <v>12</v>
      </c>
      <c r="J31" s="77" t="s">
        <v>13</v>
      </c>
      <c r="K31" s="77" t="s">
        <v>14</v>
      </c>
      <c r="L31" s="75" t="s">
        <v>15</v>
      </c>
    </row>
    <row r="32" customFormat="false" ht="15" hidden="false" customHeight="true" outlineLevel="0" collapsed="false">
      <c r="A32" s="8" t="s">
        <v>227</v>
      </c>
      <c r="B32" s="9"/>
      <c r="C32" s="9"/>
      <c r="D32" s="9"/>
      <c r="E32" s="9"/>
      <c r="F32" s="9"/>
      <c r="G32" s="9"/>
      <c r="H32" s="9"/>
      <c r="I32" s="9"/>
      <c r="J32" s="9"/>
      <c r="K32" s="9"/>
      <c r="L32" s="9"/>
    </row>
    <row r="33" customFormat="false" ht="15" hidden="false" customHeight="true" outlineLevel="0" collapsed="false">
      <c r="A33" s="10" t="s">
        <v>228</v>
      </c>
      <c r="B33" s="11" t="n">
        <f aca="false">Tab2_Core_Returns!B19</f>
        <v>15807</v>
      </c>
      <c r="C33" s="11" t="n">
        <f aca="false">Tab2_Core_Returns!C19</f>
        <v>19681</v>
      </c>
      <c r="D33" s="11" t="n">
        <f aca="false">Tab2_Core_Returns!D19</f>
        <v>21927</v>
      </c>
      <c r="E33" s="11" t="n">
        <f aca="false">Tab2_Core_Returns!E19</f>
        <v>24057</v>
      </c>
      <c r="F33" s="11" t="n">
        <f aca="false">Tab2_Core_Returns!F19</f>
        <v>26556</v>
      </c>
      <c r="G33" s="12" t="n">
        <f aca="false">Tab2_Core_Returns!G19</f>
        <v>30092.4456096</v>
      </c>
      <c r="H33" s="12" t="n">
        <f aca="false">Tab2_Core_Returns!H19</f>
        <v>33343.349106756</v>
      </c>
      <c r="I33" s="12" t="n">
        <f aca="false">Tab2_Core_Returns!I19</f>
        <v>36885.3369620184</v>
      </c>
      <c r="J33" s="12" t="n">
        <f aca="false">Tab2_Core_Returns!J19</f>
        <v>40477.1596975011</v>
      </c>
      <c r="K33" s="12" t="n">
        <f aca="false">Tab2_Core_Returns!K19</f>
        <v>44307.2644733033</v>
      </c>
      <c r="L33" s="3" t="s">
        <v>229</v>
      </c>
    </row>
    <row r="34" customFormat="false" ht="15" hidden="false" customHeight="true" outlineLevel="0" collapsed="false">
      <c r="A34" s="10" t="s">
        <v>230</v>
      </c>
      <c r="B34" s="43" t="n">
        <f aca="false">Tab2_Core_Returns!B27</f>
        <v>0.17</v>
      </c>
      <c r="C34" s="43" t="n">
        <f aca="false">Tab2_Core_Returns!C27</f>
        <v>0.175286722540803</v>
      </c>
      <c r="D34" s="43" t="n">
        <f aca="false">Tab2_Core_Returns!D27</f>
        <v>0.178922850216286</v>
      </c>
      <c r="E34" s="43" t="n">
        <f aca="false">Tab2_Core_Returns!E27</f>
        <v>0.174485699949824</v>
      </c>
      <c r="F34" s="43" t="n">
        <f aca="false">Tab2_Core_Returns!F27</f>
        <v>0.170951475572456</v>
      </c>
      <c r="G34" s="44" t="n">
        <f aca="false">Tab2_Core_Returns!G27</f>
        <v>0.16</v>
      </c>
      <c r="H34" s="44" t="n">
        <f aca="false">Tab2_Core_Returns!H27</f>
        <v>0.17</v>
      </c>
      <c r="I34" s="44" t="n">
        <f aca="false">Tab2_Core_Returns!I27</f>
        <v>0.17</v>
      </c>
      <c r="J34" s="44" t="n">
        <f aca="false">Tab2_Core_Returns!J27</f>
        <v>0.17</v>
      </c>
      <c r="K34" s="44" t="n">
        <f aca="false">Tab2_Core_Returns!K27</f>
        <v>0.17</v>
      </c>
      <c r="L34" s="3" t="s">
        <v>231</v>
      </c>
    </row>
    <row r="35" customFormat="false" ht="15" hidden="false" customHeight="true" outlineLevel="0" collapsed="false">
      <c r="A35" s="4" t="s">
        <v>232</v>
      </c>
      <c r="B35" s="23" t="n">
        <f aca="false">B33*(1-B34)</f>
        <v>13119.81</v>
      </c>
      <c r="C35" s="23" t="n">
        <f aca="false">C33*(1-C34)</f>
        <v>16231.1820136745</v>
      </c>
      <c r="D35" s="23" t="n">
        <f aca="false">D33*(1-D34)</f>
        <v>18003.7586633075</v>
      </c>
      <c r="E35" s="23" t="n">
        <f aca="false">E33*(1-E34)</f>
        <v>19859.3975163071</v>
      </c>
      <c r="F35" s="23" t="n">
        <f aca="false">F33*(1-F34)</f>
        <v>22016.2126146979</v>
      </c>
      <c r="G35" s="24" t="n">
        <f aca="false">G33*(1-G34)</f>
        <v>25277.654312064</v>
      </c>
      <c r="H35" s="24" t="n">
        <f aca="false">H33*(1-H34)</f>
        <v>27674.9797586075</v>
      </c>
      <c r="I35" s="24" t="n">
        <f aca="false">I33*(1-I34)</f>
        <v>30614.8296784753</v>
      </c>
      <c r="J35" s="24" t="n">
        <f aca="false">J33*(1-J34)</f>
        <v>33596.0425489259</v>
      </c>
      <c r="K35" s="24" t="n">
        <f aca="false">K33*(1-K34)</f>
        <v>36775.0295128418</v>
      </c>
      <c r="L35" s="3" t="s">
        <v>233</v>
      </c>
    </row>
    <row r="36" customFormat="false" ht="15" hidden="false" customHeight="true" outlineLevel="0" collapsed="false">
      <c r="A36" s="10" t="s">
        <v>234</v>
      </c>
      <c r="B36" s="11" t="n">
        <f aca="false">Tab2_Core_Returns!B51</f>
        <v>38349</v>
      </c>
      <c r="C36" s="11" t="n">
        <f aca="false">Tab2_Core_Returns!C51</f>
        <v>37373</v>
      </c>
      <c r="D36" s="11" t="n">
        <f aca="false">Tab2_Core_Returns!D51</f>
        <v>37147</v>
      </c>
      <c r="E36" s="11" t="n">
        <f aca="false">Tab2_Core_Returns!E51</f>
        <v>42253</v>
      </c>
      <c r="F36" s="11" t="n">
        <f aca="false">Tab2_Core_Returns!F51</f>
        <v>43084</v>
      </c>
      <c r="G36" s="12" t="n">
        <f aca="false">Tab2_Core_Returns!G51</f>
        <v>46290.8054312064</v>
      </c>
      <c r="H36" s="12" t="n">
        <f aca="false">Tab2_Core_Returns!H51</f>
        <v>47090.8054312064</v>
      </c>
      <c r="I36" s="12" t="n">
        <f aca="false">Tab2_Core_Returns!I51</f>
        <v>47890.8054312064</v>
      </c>
      <c r="J36" s="12" t="n">
        <f aca="false">Tab2_Core_Returns!J51</f>
        <v>48690.8054312064</v>
      </c>
      <c r="K36" s="12" t="n">
        <f aca="false">Tab2_Core_Returns!K51</f>
        <v>49490.8054312064</v>
      </c>
      <c r="L36" s="3" t="s">
        <v>235</v>
      </c>
    </row>
    <row r="37" customFormat="false" ht="15" hidden="false" customHeight="true" outlineLevel="0" collapsed="false">
      <c r="A37" s="10" t="s">
        <v>236</v>
      </c>
      <c r="C37" s="11" t="n">
        <f aca="false">Tab2_Core_Returns!C52</f>
        <v>37861</v>
      </c>
      <c r="D37" s="11" t="n">
        <f aca="false">Tab2_Core_Returns!D52</f>
        <v>37260</v>
      </c>
      <c r="E37" s="11" t="n">
        <f aca="false">Tab2_Core_Returns!E52</f>
        <v>39700</v>
      </c>
      <c r="F37" s="11" t="n">
        <f aca="false">Tab2_Core_Returns!F52</f>
        <v>42668.5</v>
      </c>
      <c r="G37" s="12" t="n">
        <f aca="false">Tab2_Core_Returns!G52</f>
        <v>44687.4027156032</v>
      </c>
      <c r="H37" s="12" t="n">
        <f aca="false">Tab2_Core_Returns!H52</f>
        <v>46690.8054312064</v>
      </c>
      <c r="I37" s="12" t="n">
        <f aca="false">Tab2_Core_Returns!I52</f>
        <v>47490.8054312064</v>
      </c>
      <c r="J37" s="12" t="n">
        <f aca="false">Tab2_Core_Returns!J52</f>
        <v>48290.8054312064</v>
      </c>
      <c r="K37" s="12" t="n">
        <f aca="false">Tab2_Core_Returns!K52</f>
        <v>49090.8054312064</v>
      </c>
      <c r="L37" s="3" t="s">
        <v>237</v>
      </c>
    </row>
    <row r="38" customFormat="false" ht="15" hidden="false" customHeight="true" outlineLevel="0" collapsed="false">
      <c r="A38" s="13" t="s">
        <v>238</v>
      </c>
      <c r="B38" s="15" t="n">
        <f aca="false">B35/B36</f>
        <v>0.342116091684268</v>
      </c>
      <c r="C38" s="15" t="n">
        <f aca="false">C35/C36</f>
        <v>0.434302357682671</v>
      </c>
      <c r="D38" s="15" t="n">
        <f aca="false">D35/D36</f>
        <v>0.484662520884796</v>
      </c>
      <c r="E38" s="15" t="n">
        <f aca="false">E35/E36</f>
        <v>0.470011538028237</v>
      </c>
      <c r="F38" s="15" t="n">
        <f aca="false">F35/F36</f>
        <v>0.511006698883527</v>
      </c>
      <c r="G38" s="21" t="n">
        <f aca="false">G35/G36</f>
        <v>0.546062097572045</v>
      </c>
      <c r="H38" s="21" t="n">
        <f aca="false">H35/H36</f>
        <v>0.587693914028229</v>
      </c>
      <c r="I38" s="21" t="n">
        <f aca="false">I35/I36</f>
        <v>0.639263203089213</v>
      </c>
      <c r="J38" s="21" t="n">
        <f aca="false">J35/J36</f>
        <v>0.689987406275147</v>
      </c>
      <c r="K38" s="21" t="n">
        <f aca="false">K35/K36</f>
        <v>0.743067913169449</v>
      </c>
      <c r="L38" s="3" t="s">
        <v>239</v>
      </c>
    </row>
    <row r="39" customFormat="false" ht="15" hidden="false" customHeight="true" outlineLevel="0" collapsed="false">
      <c r="A39" s="4" t="s">
        <v>240</v>
      </c>
      <c r="C39" s="78" t="n">
        <f aca="false">C35/C37</f>
        <v>0.428704524805855</v>
      </c>
      <c r="D39" s="78" t="n">
        <f aca="false">D35/D37</f>
        <v>0.483192664071592</v>
      </c>
      <c r="E39" s="78" t="n">
        <f aca="false">E35/E37</f>
        <v>0.500236713257105</v>
      </c>
      <c r="F39" s="78" t="n">
        <f aca="false">F35/F37</f>
        <v>0.515982812020527</v>
      </c>
      <c r="G39" s="78" t="n">
        <f aca="false">G35/G37</f>
        <v>0.565655034214776</v>
      </c>
      <c r="H39" s="78" t="n">
        <f aca="false">H35/H37</f>
        <v>0.592728686151783</v>
      </c>
      <c r="I39" s="78" t="n">
        <f aca="false">I35/I37</f>
        <v>0.644647514408298</v>
      </c>
      <c r="J39" s="78" t="n">
        <f aca="false">J35/J37</f>
        <v>0.695702675673651</v>
      </c>
      <c r="K39" s="78" t="n">
        <f aca="false">K35/K37</f>
        <v>0.749122553394986</v>
      </c>
      <c r="L39" s="3" t="s">
        <v>241</v>
      </c>
    </row>
    <row r="40" customFormat="false" ht="15" hidden="false" customHeight="true" outlineLevel="0" collapsed="false">
      <c r="A40" s="13" t="s">
        <v>242</v>
      </c>
      <c r="C40" s="15" t="n">
        <f aca="false">Tab2_Core_Returns!C16*(1-C34)/C37</f>
        <v>0.409797176219325</v>
      </c>
      <c r="D40" s="15" t="n">
        <f aca="false">Tab2_Core_Returns!D16*(1-D34)/D37</f>
        <v>0.462764899233977</v>
      </c>
      <c r="E40" s="15" t="n">
        <f aca="false">Tab2_Core_Returns!E16*(1-E34)/E37</f>
        <v>0.490629972536118</v>
      </c>
      <c r="F40" s="15" t="n">
        <f aca="false">Tab2_Core_Returns!F16*(1-F34)/F37</f>
        <v>0.466203177873947</v>
      </c>
      <c r="G40" s="21" t="n">
        <f aca="false">Tab2_Core_Returns!G16*(1-G34)/G37</f>
        <v>0.541406589817679</v>
      </c>
      <c r="H40" s="21" t="n">
        <f aca="false">Tab2_Core_Returns!H16*(1-H34)/H37</f>
        <v>0.583840426543337</v>
      </c>
      <c r="I40" s="21" t="n">
        <f aca="false">Tab2_Core_Returns!I16*(1-I34)/I37</f>
        <v>0.635908980786223</v>
      </c>
      <c r="J40" s="21" t="n">
        <f aca="false">Tab2_Core_Returns!J16*(1-J34)/J37</f>
        <v>0.687108907226545</v>
      </c>
      <c r="K40" s="21" t="n">
        <f aca="false">Tab2_Core_Returns!K16*(1-K34)/K37</f>
        <v>0.740668831840518</v>
      </c>
      <c r="L40" s="3" t="s">
        <v>243</v>
      </c>
    </row>
    <row r="41" customFormat="false" ht="15" hidden="false" customHeight="true" outlineLevel="0" collapsed="false">
      <c r="A41" s="8" t="s">
        <v>244</v>
      </c>
      <c r="B41" s="9"/>
      <c r="C41" s="9"/>
      <c r="D41" s="9"/>
      <c r="E41" s="9"/>
      <c r="F41" s="9"/>
      <c r="G41" s="9"/>
      <c r="H41" s="9"/>
      <c r="I41" s="9"/>
      <c r="J41" s="9"/>
      <c r="K41" s="9"/>
      <c r="L41" s="9"/>
    </row>
    <row r="42" customFormat="false" ht="15" hidden="false" customHeight="true" outlineLevel="0" collapsed="false">
      <c r="A42" s="10" t="s">
        <v>245</v>
      </c>
      <c r="B42" s="11" t="n">
        <f aca="false">Tab2_Core_Returns!B56</f>
        <v>22391</v>
      </c>
      <c r="C42" s="11" t="n">
        <f aca="false">Tab2_Core_Returns!C56</f>
        <v>19586</v>
      </c>
      <c r="D42" s="11" t="n">
        <f aca="false">Tab2_Core_Returns!D56</f>
        <v>19150</v>
      </c>
      <c r="E42" s="11" t="n">
        <f aca="false">Tab2_Core_Returns!E56</f>
        <v>23312</v>
      </c>
      <c r="F42" s="11" t="n">
        <f aca="false">Tab2_Core_Returns!F56</f>
        <v>23205</v>
      </c>
      <c r="G42" s="12" t="n">
        <f aca="false">Tab2_Core_Returns!G56</f>
        <v>25611.8054312064</v>
      </c>
      <c r="H42" s="12" t="n">
        <f aca="false">Tab2_Core_Returns!H56</f>
        <v>25611.8054312064</v>
      </c>
      <c r="I42" s="12" t="n">
        <f aca="false">Tab2_Core_Returns!I56</f>
        <v>25611.8054312064</v>
      </c>
      <c r="J42" s="12" t="n">
        <f aca="false">Tab2_Core_Returns!J56</f>
        <v>25611.8054312064</v>
      </c>
      <c r="K42" s="12" t="n">
        <f aca="false">Tab2_Core_Returns!K56</f>
        <v>25611.8054312064</v>
      </c>
      <c r="L42" s="3" t="s">
        <v>246</v>
      </c>
    </row>
    <row r="43" customFormat="false" ht="15" hidden="false" customHeight="true" outlineLevel="0" collapsed="false">
      <c r="A43" s="10" t="s">
        <v>247</v>
      </c>
      <c r="C43" s="28" t="n">
        <f aca="false">AVERAGE(B42,C42)</f>
        <v>20988.5</v>
      </c>
      <c r="D43" s="28" t="n">
        <f aca="false">AVERAGE(C42,D42)</f>
        <v>19368</v>
      </c>
      <c r="E43" s="28" t="n">
        <f aca="false">AVERAGE(D42,E42)</f>
        <v>21231</v>
      </c>
      <c r="F43" s="28" t="n">
        <f aca="false">AVERAGE(E42,F42)</f>
        <v>23258.5</v>
      </c>
      <c r="G43" s="22" t="n">
        <f aca="false">AVERAGE(F42,G42)</f>
        <v>24408.4027156032</v>
      </c>
      <c r="H43" s="22" t="n">
        <f aca="false">AVERAGE(G42,H42)</f>
        <v>25611.8054312064</v>
      </c>
      <c r="I43" s="22" t="n">
        <f aca="false">AVERAGE(H42,I42)</f>
        <v>25611.8054312064</v>
      </c>
      <c r="J43" s="22" t="n">
        <f aca="false">AVERAGE(I42,J42)</f>
        <v>25611.8054312064</v>
      </c>
      <c r="K43" s="22" t="n">
        <f aca="false">AVERAGE(J42,K42)</f>
        <v>25611.8054312064</v>
      </c>
      <c r="L43" s="3" t="s">
        <v>145</v>
      </c>
    </row>
    <row r="44" customFormat="false" ht="15" hidden="false" customHeight="true" outlineLevel="0" collapsed="false">
      <c r="A44" s="4" t="s">
        <v>248</v>
      </c>
      <c r="C44" s="78" t="n">
        <f aca="false">C35/C43</f>
        <v>0.773336923251993</v>
      </c>
      <c r="D44" s="78" t="n">
        <f aca="false">D35/D43</f>
        <v>0.929562095379363</v>
      </c>
      <c r="E44" s="78" t="n">
        <f aca="false">E35/E43</f>
        <v>0.935396237403188</v>
      </c>
      <c r="F44" s="78" t="n">
        <f aca="false">F35/F43</f>
        <v>0.946587811539775</v>
      </c>
      <c r="G44" s="78" t="n">
        <f aca="false">G35/G43</f>
        <v>1.03561280132047</v>
      </c>
      <c r="H44" s="78" t="n">
        <f aca="false">H35/H43</f>
        <v>1.08055559897731</v>
      </c>
      <c r="I44" s="78" t="n">
        <f aca="false">I35/I43</f>
        <v>1.19534055342983</v>
      </c>
      <c r="J44" s="78" t="n">
        <f aca="false">J35/J43</f>
        <v>1.31174050338487</v>
      </c>
      <c r="K44" s="78" t="n">
        <f aca="false">K35/K43</f>
        <v>1.43586244287307</v>
      </c>
      <c r="L44" s="3" t="s">
        <v>249</v>
      </c>
    </row>
    <row r="45" customFormat="false" ht="15" hidden="false" customHeight="true" outlineLevel="0" collapsed="false">
      <c r="A45" s="10" t="s">
        <v>154</v>
      </c>
      <c r="B45" s="11" t="n">
        <f aca="false">Tab2_Core_Returns!B57</f>
        <v>-5273</v>
      </c>
      <c r="C45" s="11" t="n">
        <f aca="false">Tab2_Core_Returns!C57</f>
        <v>-5479</v>
      </c>
      <c r="D45" s="11" t="n">
        <f aca="false">Tab2_Core_Returns!D57</f>
        <v>-6954</v>
      </c>
      <c r="E45" s="11" t="n">
        <f aca="false">Tab2_Core_Returns!E57</f>
        <v>-3577</v>
      </c>
      <c r="F45" s="11" t="n">
        <f aca="false">Tab2_Core_Returns!F57</f>
        <v>-4441</v>
      </c>
      <c r="G45" s="12" t="n">
        <f aca="false">Tab2_Core_Returns!G57</f>
        <v>-2034.19456879361</v>
      </c>
      <c r="H45" s="12" t="n">
        <f aca="false">Tab2_Core_Returns!H57</f>
        <v>-2034.1945687936</v>
      </c>
      <c r="I45" s="12" t="n">
        <f aca="false">Tab2_Core_Returns!I57</f>
        <v>-2034.19456879361</v>
      </c>
      <c r="J45" s="12" t="n">
        <f aca="false">Tab2_Core_Returns!J57</f>
        <v>-2034.19456879361</v>
      </c>
      <c r="K45" s="12" t="n">
        <f aca="false">Tab2_Core_Returns!K57</f>
        <v>-2034.19456879362</v>
      </c>
      <c r="L45" s="3" t="s">
        <v>250</v>
      </c>
    </row>
    <row r="46" customFormat="false" ht="15" hidden="false" customHeight="true" outlineLevel="0" collapsed="false">
      <c r="A46" s="8" t="s">
        <v>251</v>
      </c>
      <c r="B46" s="9"/>
      <c r="C46" s="9"/>
      <c r="D46" s="9"/>
      <c r="E46" s="9"/>
      <c r="F46" s="9"/>
      <c r="G46" s="9"/>
      <c r="H46" s="9"/>
      <c r="I46" s="9"/>
      <c r="J46" s="9"/>
      <c r="K46" s="9"/>
      <c r="L46" s="9"/>
    </row>
    <row r="47" customFormat="false" ht="15" hidden="false" customHeight="true" outlineLevel="0" collapsed="false">
      <c r="A47" s="10" t="s">
        <v>252</v>
      </c>
      <c r="B47" s="15" t="n">
        <f aca="false">$B$26</f>
        <v>0.0967447735945994</v>
      </c>
      <c r="C47" s="15" t="n">
        <f aca="false">$B$26</f>
        <v>0.0967447735945994</v>
      </c>
      <c r="D47" s="15" t="n">
        <f aca="false">$B$26</f>
        <v>0.0967447735945994</v>
      </c>
      <c r="E47" s="15" t="n">
        <f aca="false">$B$26</f>
        <v>0.0967447735945994</v>
      </c>
      <c r="F47" s="15" t="n">
        <f aca="false">$B$26</f>
        <v>0.0967447735945994</v>
      </c>
      <c r="G47" s="21" t="n">
        <f aca="false">$B$26</f>
        <v>0.0967447735945994</v>
      </c>
      <c r="H47" s="21" t="n">
        <f aca="false">$B$26</f>
        <v>0.0967447735945994</v>
      </c>
      <c r="I47" s="21" t="n">
        <f aca="false">$B$26</f>
        <v>0.0967447735945994</v>
      </c>
      <c r="J47" s="21" t="n">
        <f aca="false">$B$26</f>
        <v>0.0967447735945994</v>
      </c>
      <c r="K47" s="21" t="n">
        <f aca="false">$B$26</f>
        <v>0.0967447735945994</v>
      </c>
      <c r="L47" s="3" t="s">
        <v>253</v>
      </c>
    </row>
    <row r="48" customFormat="false" ht="15" hidden="false" customHeight="true" outlineLevel="0" collapsed="false">
      <c r="A48" s="4" t="s">
        <v>254</v>
      </c>
      <c r="C48" s="78" t="n">
        <f aca="false">C39-C47</f>
        <v>0.331959751211255</v>
      </c>
      <c r="D48" s="78" t="n">
        <f aca="false">D39-D47</f>
        <v>0.386447890476992</v>
      </c>
      <c r="E48" s="78" t="n">
        <f aca="false">E39-E47</f>
        <v>0.403491939662506</v>
      </c>
      <c r="F48" s="78" t="n">
        <f aca="false">F39-F47</f>
        <v>0.419238038425928</v>
      </c>
      <c r="G48" s="78" t="n">
        <f aca="false">G39-G47</f>
        <v>0.468910260620177</v>
      </c>
      <c r="H48" s="78" t="n">
        <f aca="false">H39-H47</f>
        <v>0.495983912557183</v>
      </c>
      <c r="I48" s="78" t="n">
        <f aca="false">I39-I47</f>
        <v>0.547902740813698</v>
      </c>
      <c r="J48" s="78" t="n">
        <f aca="false">J39-J47</f>
        <v>0.598957902079051</v>
      </c>
      <c r="K48" s="78" t="n">
        <f aca="false">K39-K47</f>
        <v>0.652377779800387</v>
      </c>
      <c r="L48" s="3" t="s">
        <v>255</v>
      </c>
    </row>
    <row r="49" customFormat="false" ht="15" hidden="false" customHeight="true" outlineLevel="0" collapsed="false">
      <c r="A49" s="4" t="s">
        <v>256</v>
      </c>
      <c r="C49" s="50" t="n">
        <f aca="false">C44-C47</f>
        <v>0.676592149657394</v>
      </c>
      <c r="D49" s="50" t="n">
        <f aca="false">D44-D47</f>
        <v>0.832817321784764</v>
      </c>
      <c r="E49" s="50" t="n">
        <f aca="false">E44-E47</f>
        <v>0.838651463808588</v>
      </c>
      <c r="F49" s="50" t="n">
        <f aca="false">F44-F47</f>
        <v>0.849843037945176</v>
      </c>
      <c r="G49" s="51" t="n">
        <f aca="false">G44-G47</f>
        <v>0.938868027725871</v>
      </c>
      <c r="H49" s="51" t="n">
        <f aca="false">H44-H47</f>
        <v>0.983810825382708</v>
      </c>
      <c r="I49" s="51" t="n">
        <f aca="false">I44-I47</f>
        <v>1.09859577983523</v>
      </c>
      <c r="J49" s="51" t="n">
        <f aca="false">J44-J47</f>
        <v>1.21499572979027</v>
      </c>
      <c r="K49" s="51" t="n">
        <f aca="false">K44-K47</f>
        <v>1.33911766927847</v>
      </c>
      <c r="L49" s="3" t="s">
        <v>257</v>
      </c>
    </row>
    <row r="50" customFormat="false" ht="15" hidden="false" customHeight="true" outlineLevel="0" collapsed="false">
      <c r="A50" s="4" t="s">
        <v>258</v>
      </c>
      <c r="C50" s="23" t="n">
        <f aca="false">C35-C47*C37</f>
        <v>12568.3281406093</v>
      </c>
      <c r="D50" s="23" t="n">
        <f aca="false">D35-D47*D37</f>
        <v>14399.0483991727</v>
      </c>
      <c r="E50" s="23" t="n">
        <f aca="false">E35-E47*E37</f>
        <v>16018.6300046015</v>
      </c>
      <c r="F50" s="23" t="n">
        <f aca="false">F35-F47*F37</f>
        <v>17888.2582425767</v>
      </c>
      <c r="G50" s="24" t="n">
        <f aca="false">G35-G47*G37</f>
        <v>20954.3816538123</v>
      </c>
      <c r="H50" s="24" t="n">
        <f aca="false">H35-H47*H37</f>
        <v>23157.8883582159</v>
      </c>
      <c r="I50" s="24" t="n">
        <f aca="false">I35-I47*I37</f>
        <v>26020.342459208</v>
      </c>
      <c r="J50" s="24" t="n">
        <f aca="false">J35-J47*J37</f>
        <v>28924.159510783</v>
      </c>
      <c r="K50" s="24" t="n">
        <f aca="false">K35-K47*K37</f>
        <v>32025.7506558232</v>
      </c>
      <c r="L50" s="3" t="s">
        <v>259</v>
      </c>
    </row>
    <row r="51" customFormat="false" ht="15" hidden="false" customHeight="true" outlineLevel="0" collapsed="false">
      <c r="A51" s="13" t="s">
        <v>260</v>
      </c>
      <c r="C51" s="28" t="n">
        <f aca="false">C47*C37</f>
        <v>3662.85387306513</v>
      </c>
      <c r="D51" s="28" t="n">
        <f aca="false">D47*D37</f>
        <v>3604.71026413477</v>
      </c>
      <c r="E51" s="28" t="n">
        <f aca="false">E47*E37</f>
        <v>3840.7675117056</v>
      </c>
      <c r="F51" s="28" t="n">
        <f aca="false">F47*F37</f>
        <v>4127.95437212116</v>
      </c>
      <c r="G51" s="22" t="n">
        <f aca="false">G47*G37</f>
        <v>4323.27265825172</v>
      </c>
      <c r="H51" s="22" t="n">
        <f aca="false">H47*H37</f>
        <v>4517.09140039155</v>
      </c>
      <c r="I51" s="22" t="n">
        <f aca="false">I47*I37</f>
        <v>4594.48721926723</v>
      </c>
      <c r="J51" s="22" t="n">
        <f aca="false">J47*J37</f>
        <v>4671.88303814291</v>
      </c>
      <c r="K51" s="22" t="n">
        <f aca="false">K47*K37</f>
        <v>4749.27885701859</v>
      </c>
      <c r="L51" s="3" t="s">
        <v>261</v>
      </c>
    </row>
    <row r="52" customFormat="false" ht="15" hidden="false" customHeight="true" outlineLevel="0" collapsed="false">
      <c r="A52" s="13" t="s">
        <v>262</v>
      </c>
      <c r="C52" s="15" t="n">
        <f aca="false">C50/C35</f>
        <v>0.774332277835389</v>
      </c>
      <c r="D52" s="15" t="n">
        <f aca="false">D50/D35</f>
        <v>0.799780127497413</v>
      </c>
      <c r="E52" s="15" t="n">
        <f aca="false">E50/E35</f>
        <v>0.806602012545857</v>
      </c>
      <c r="F52" s="15" t="n">
        <f aca="false">F50/F35</f>
        <v>0.81250388318991</v>
      </c>
      <c r="G52" s="21" t="n">
        <f aca="false">G50/G35</f>
        <v>0.828968597921351</v>
      </c>
      <c r="H52" s="21" t="n">
        <f aca="false">H50/H35</f>
        <v>0.836780679162497</v>
      </c>
      <c r="I52" s="21" t="n">
        <f aca="false">I50/I35</f>
        <v>0.849926089169213</v>
      </c>
      <c r="J52" s="21" t="n">
        <f aca="false">J50/J35</f>
        <v>0.860939483234097</v>
      </c>
      <c r="K52" s="21" t="n">
        <f aca="false">K50/K35</f>
        <v>0.870855879113295</v>
      </c>
      <c r="L52" s="3" t="s">
        <v>263</v>
      </c>
    </row>
    <row r="54" customFormat="false" ht="15" hidden="false" customHeight="true" outlineLevel="0" collapsed="false">
      <c r="A54" s="8" t="s">
        <v>264</v>
      </c>
      <c r="B54" s="9"/>
      <c r="C54" s="9"/>
      <c r="D54" s="9"/>
      <c r="E54" s="9"/>
      <c r="F54" s="9"/>
      <c r="G54" s="9"/>
      <c r="H54" s="9"/>
      <c r="I54" s="9"/>
      <c r="J54" s="9"/>
      <c r="K54" s="9"/>
      <c r="L54" s="9"/>
    </row>
    <row r="55" customFormat="false" ht="15" hidden="false" customHeight="true" outlineLevel="0" collapsed="false">
      <c r="A55" s="4" t="s">
        <v>265</v>
      </c>
      <c r="B55" s="79" t="n">
        <v>0.04</v>
      </c>
      <c r="C55" s="79" t="n">
        <v>0.045</v>
      </c>
      <c r="D55" s="79" t="n">
        <v>0.05</v>
      </c>
      <c r="E55" s="79" t="n">
        <v>0.055</v>
      </c>
      <c r="F55" s="79" t="n">
        <v>0.06</v>
      </c>
      <c r="G55" s="3" t="s">
        <v>266</v>
      </c>
    </row>
    <row r="56" customFormat="false" ht="15" hidden="false" customHeight="true" outlineLevel="0" collapsed="false">
      <c r="A56" s="80" t="n">
        <v>0.59</v>
      </c>
      <c r="B56" s="15" t="n">
        <f aca="false">$B$24*($B$6+$A56*B$55)+$B$25*$B$16</f>
        <v>0.0745401621271413</v>
      </c>
      <c r="C56" s="15" t="n">
        <f aca="false">$B$24*($B$6+$A56*C$55)+$B$25*$B$16</f>
        <v>0.0773975245049031</v>
      </c>
      <c r="D56" s="15" t="n">
        <f aca="false">$B$24*($B$6+$A56*D$55)+$B$25*$B$16</f>
        <v>0.080254886882665</v>
      </c>
      <c r="E56" s="15" t="n">
        <f aca="false">$B$24*($B$6+$A56*E$55)+$B$25*$B$16</f>
        <v>0.0831122492604268</v>
      </c>
      <c r="F56" s="15" t="n">
        <f aca="false">$B$24*($B$6+$A56*F$55)+$B$25*$B$16</f>
        <v>0.0859696116381887</v>
      </c>
      <c r="G56" s="3" t="s">
        <v>267</v>
      </c>
    </row>
    <row r="57" customFormat="false" ht="15" hidden="false" customHeight="true" outlineLevel="0" collapsed="false">
      <c r="A57" s="80" t="n">
        <v>0.77</v>
      </c>
      <c r="B57" s="15" t="n">
        <f aca="false">$B$24*($B$6+$A57*B$55)+$B$25*$B$16</f>
        <v>0.0815140635237126</v>
      </c>
      <c r="C57" s="15" t="n">
        <f aca="false">$B$24*($B$6+$A57*C$55)+$B$25*$B$16</f>
        <v>0.0852431635760458</v>
      </c>
      <c r="D57" s="15" t="n">
        <f aca="false">$B$24*($B$6+$A57*D$55)+$B$25*$B$16</f>
        <v>0.0889722636283791</v>
      </c>
      <c r="E57" s="15" t="n">
        <f aca="false">$B$24*($B$6+$A57*E$55)+$B$25*$B$16</f>
        <v>0.0927013636807123</v>
      </c>
      <c r="F57" s="15" t="n">
        <f aca="false">$B$24*($B$6+$A57*F$55)+$B$25*$B$16</f>
        <v>0.0964304637330456</v>
      </c>
    </row>
    <row r="58" customFormat="false" ht="15" hidden="false" customHeight="true" outlineLevel="0" collapsed="false">
      <c r="A58" s="80" t="n">
        <v>0.85</v>
      </c>
      <c r="B58" s="15" t="n">
        <f aca="false">$B$24*($B$6+$A58*B$55)+$B$25*$B$16</f>
        <v>0.084613575255522</v>
      </c>
      <c r="C58" s="15" t="n">
        <f aca="false">$B$24*($B$6+$A58*C$55)+$B$25*$B$16</f>
        <v>0.0887301142743315</v>
      </c>
      <c r="D58" s="15" t="n">
        <f aca="false">$B$24*($B$6+$A58*D$55)+$B$25*$B$16</f>
        <v>0.0928466532931409</v>
      </c>
      <c r="E58" s="15" t="n">
        <f aca="false">$B$24*($B$6+$A58*E$55)+$B$25*$B$16</f>
        <v>0.0969631923119503</v>
      </c>
      <c r="F58" s="15" t="n">
        <f aca="false">$B$24*($B$6+$A58*F$55)+$B$25*$B$16</f>
        <v>0.10107973133076</v>
      </c>
    </row>
    <row r="59" customFormat="false" ht="15" hidden="false" customHeight="true" outlineLevel="0" collapsed="false">
      <c r="A59" s="80" t="n">
        <v>0.95</v>
      </c>
      <c r="B59" s="15" t="n">
        <f aca="false">$B$24*($B$6+$A59*B$55)+$B$25*$B$16</f>
        <v>0.0884879649202839</v>
      </c>
      <c r="C59" s="15" t="n">
        <f aca="false">$B$24*($B$6+$A59*C$55)+$B$25*$B$16</f>
        <v>0.0930888026471885</v>
      </c>
      <c r="D59" s="15" t="n">
        <f aca="false">$B$24*($B$6+$A59*D$55)+$B$25*$B$16</f>
        <v>0.0976896403740932</v>
      </c>
      <c r="E59" s="15" t="n">
        <f aca="false">$B$24*($B$6+$A59*E$55)+$B$25*$B$16</f>
        <v>0.102290478100998</v>
      </c>
      <c r="F59" s="15" t="n">
        <f aca="false">$B$24*($B$6+$A59*F$55)+$B$25*$B$16</f>
        <v>0.106891315827903</v>
      </c>
    </row>
    <row r="60" customFormat="false" ht="15" hidden="false" customHeight="true" outlineLevel="0" collapsed="false">
      <c r="A60" s="80" t="n">
        <v>1.1</v>
      </c>
      <c r="B60" s="15" t="n">
        <f aca="false">$B$24*($B$6+$A60*B$55)+$B$25*$B$16</f>
        <v>0.0942995494174266</v>
      </c>
      <c r="C60" s="15" t="n">
        <f aca="false">$B$24*($B$6+$A60*C$55)+$B$25*$B$16</f>
        <v>0.0996268352064741</v>
      </c>
      <c r="D60" s="15" t="n">
        <f aca="false">$B$24*($B$6+$A60*D$55)+$B$25*$B$16</f>
        <v>0.104954120995522</v>
      </c>
      <c r="E60" s="15" t="n">
        <f aca="false">$B$24*($B$6+$A60*E$55)+$B$25*$B$16</f>
        <v>0.110281406784569</v>
      </c>
      <c r="F60" s="15" t="n">
        <f aca="false">$B$24*($B$6+$A60*F$55)+$B$25*$B$16</f>
        <v>0.115608692573617</v>
      </c>
    </row>
    <row r="62" customFormat="false" ht="15" hidden="false" customHeight="true" outlineLevel="0" collapsed="false">
      <c r="A62" s="8" t="s">
        <v>268</v>
      </c>
      <c r="B62" s="9"/>
      <c r="C62" s="9"/>
      <c r="D62" s="9"/>
      <c r="E62" s="9"/>
      <c r="F62" s="9"/>
      <c r="G62" s="9"/>
      <c r="H62" s="9"/>
      <c r="I62" s="9"/>
      <c r="J62" s="9"/>
      <c r="K62" s="9"/>
      <c r="L62" s="9"/>
    </row>
    <row r="63" customFormat="false" ht="15" hidden="false" customHeight="true" outlineLevel="0" collapsed="false">
      <c r="A63" s="4" t="s">
        <v>265</v>
      </c>
      <c r="B63" s="81" t="n">
        <f aca="false">B55</f>
        <v>0.04</v>
      </c>
      <c r="C63" s="81" t="n">
        <f aca="false">C55</f>
        <v>0.045</v>
      </c>
      <c r="D63" s="81" t="n">
        <f aca="false">D55</f>
        <v>0.05</v>
      </c>
      <c r="E63" s="81" t="n">
        <f aca="false">E55</f>
        <v>0.055</v>
      </c>
      <c r="F63" s="81" t="n">
        <f aca="false">F55</f>
        <v>0.06</v>
      </c>
      <c r="G63" s="3" t="s">
        <v>269</v>
      </c>
    </row>
    <row r="64" customFormat="false" ht="15" hidden="false" customHeight="true" outlineLevel="0" collapsed="false">
      <c r="A64" s="82" t="n">
        <f aca="false">A56</f>
        <v>0.59</v>
      </c>
      <c r="B64" s="28" t="n">
        <f aca="false">$F$35-B56*$F$37</f>
        <v>18835.6957069759</v>
      </c>
      <c r="C64" s="28" t="n">
        <f aca="false">$F$35-C56*$F$37</f>
        <v>18713.7763403604</v>
      </c>
      <c r="D64" s="28" t="n">
        <f aca="false">$F$35-D56*$F$37</f>
        <v>18591.8569737449</v>
      </c>
      <c r="E64" s="28" t="n">
        <f aca="false">$F$35-E56*$F$37</f>
        <v>18469.9376071293</v>
      </c>
      <c r="F64" s="28" t="n">
        <f aca="false">$F$35-F56*$F$37</f>
        <v>18348.0182405138</v>
      </c>
      <c r="G64" s="3" t="s">
        <v>270</v>
      </c>
    </row>
    <row r="65" customFormat="false" ht="15" hidden="false" customHeight="true" outlineLevel="0" collapsed="false">
      <c r="A65" s="82" t="n">
        <f aca="false">A57</f>
        <v>0.77</v>
      </c>
      <c r="B65" s="28" t="n">
        <f aca="false">$F$35-B57*$F$37</f>
        <v>18538.1297952363</v>
      </c>
      <c r="C65" s="28" t="n">
        <f aca="false">$F$35-C57*$F$37</f>
        <v>18379.0146896533</v>
      </c>
      <c r="D65" s="28" t="n">
        <f aca="false">$F$35-D57*$F$37</f>
        <v>18219.8995840704</v>
      </c>
      <c r="E65" s="28" t="n">
        <f aca="false">$F$35-E57*$F$37</f>
        <v>18060.7844784874</v>
      </c>
      <c r="F65" s="28" t="n">
        <f aca="false">$F$35-F57*$F$37</f>
        <v>17901.6693729044</v>
      </c>
    </row>
    <row r="66" customFormat="false" ht="15" hidden="false" customHeight="true" outlineLevel="0" collapsed="false">
      <c r="A66" s="82" t="n">
        <f aca="false">A58</f>
        <v>0.85</v>
      </c>
      <c r="B66" s="28" t="n">
        <f aca="false">$F$35-B58*$F$37</f>
        <v>18405.8782789076</v>
      </c>
      <c r="C66" s="28" t="n">
        <f aca="false">$F$35-C58*$F$37</f>
        <v>18230.2317337836</v>
      </c>
      <c r="D66" s="28" t="n">
        <f aca="false">$F$35-D58*$F$37</f>
        <v>18054.5851886595</v>
      </c>
      <c r="E66" s="28" t="n">
        <f aca="false">$F$35-E58*$F$37</f>
        <v>17878.9386435354</v>
      </c>
      <c r="F66" s="28" t="n">
        <f aca="false">$F$35-F58*$F$37</f>
        <v>17703.2920984113</v>
      </c>
    </row>
    <row r="67" customFormat="false" ht="15" hidden="false" customHeight="true" outlineLevel="0" collapsed="false">
      <c r="A67" s="82" t="n">
        <f aca="false">A59</f>
        <v>0.95</v>
      </c>
      <c r="B67" s="28" t="n">
        <f aca="false">$F$35-B59*$F$37</f>
        <v>18240.5638834967</v>
      </c>
      <c r="C67" s="28" t="n">
        <f aca="false">$F$35-C59*$F$37</f>
        <v>18044.2530389463</v>
      </c>
      <c r="D67" s="28" t="n">
        <f aca="false">$F$35-D59*$F$37</f>
        <v>17847.9421943959</v>
      </c>
      <c r="E67" s="28" t="n">
        <f aca="false">$F$35-E59*$F$37</f>
        <v>17651.6313498454</v>
      </c>
      <c r="F67" s="28" t="n">
        <f aca="false">$F$35-F59*$F$37</f>
        <v>17455.320505295</v>
      </c>
    </row>
    <row r="68" customFormat="false" ht="15" hidden="false" customHeight="true" outlineLevel="0" collapsed="false">
      <c r="A68" s="82" t="n">
        <f aca="false">A60</f>
        <v>1.1</v>
      </c>
      <c r="B68" s="28" t="n">
        <f aca="false">$F$35-B60*$F$37</f>
        <v>17992.5922903804</v>
      </c>
      <c r="C68" s="28" t="n">
        <f aca="false">$F$35-C60*$F$37</f>
        <v>17765.2849966904</v>
      </c>
      <c r="D68" s="28" t="n">
        <f aca="false">$F$35-D60*$F$37</f>
        <v>17537.9777030004</v>
      </c>
      <c r="E68" s="28" t="n">
        <f aca="false">$F$35-E60*$F$37</f>
        <v>17310.6704093105</v>
      </c>
      <c r="F68" s="28" t="n">
        <f aca="false">$F$35-F60*$F$37</f>
        <v>17083.3631156205</v>
      </c>
    </row>
    <row r="70" customFormat="false" ht="15" hidden="false" customHeight="true" outlineLevel="0" collapsed="false">
      <c r="A70" s="4" t="s">
        <v>64</v>
      </c>
    </row>
    <row r="71" customFormat="false" ht="15" hidden="false" customHeight="true" outlineLevel="0" collapsed="false">
      <c r="A71" s="3" t="s">
        <v>271</v>
      </c>
    </row>
    <row r="72" customFormat="false" ht="15" hidden="false" customHeight="true" outlineLevel="0" collapsed="false">
      <c r="A72" s="3" t="s">
        <v>272</v>
      </c>
    </row>
    <row r="73" customFormat="false" ht="15" hidden="false" customHeight="true" outlineLevel="0" collapsed="false">
      <c r="A73" s="3" t="s">
        <v>273</v>
      </c>
    </row>
    <row r="74" customFormat="false" ht="15" hidden="false" customHeight="true" outlineLevel="0" collapsed="false">
      <c r="A74" s="3" t="s">
        <v>274</v>
      </c>
    </row>
    <row r="75" customFormat="false" ht="15" hidden="false" customHeight="true" outlineLevel="0" collapsed="false">
      <c r="A75" s="3" t="s">
        <v>275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11" min="2" style="1" width="11"/>
    <col collapsed="false" customWidth="true" hidden="false" outlineLevel="0" max="12" min="12" style="1" width="72"/>
  </cols>
  <sheetData>
    <row r="1" customFormat="false" ht="17.25" hidden="false" customHeight="true" outlineLevel="0" collapsed="false">
      <c r="A1" s="2" t="s">
        <v>276</v>
      </c>
    </row>
    <row r="2" customFormat="false" ht="15" hidden="false" customHeight="true" outlineLevel="0" collapsed="false">
      <c r="A2" s="3" t="s">
        <v>1</v>
      </c>
    </row>
    <row r="3" customFormat="false" ht="15" hidden="false" customHeight="true" outlineLevel="0" collapsed="false">
      <c r="B3" s="4" t="s">
        <v>2</v>
      </c>
      <c r="G3" s="4" t="s">
        <v>3</v>
      </c>
    </row>
    <row r="4" customFormat="false" ht="15" hidden="false" customHeight="true" outlineLevel="0" collapsed="false">
      <c r="A4" s="5" t="s">
        <v>4</v>
      </c>
      <c r="B4" s="6" t="s">
        <v>5</v>
      </c>
      <c r="C4" s="6" t="s">
        <v>6</v>
      </c>
      <c r="D4" s="6" t="s">
        <v>7</v>
      </c>
      <c r="E4" s="6" t="s">
        <v>8</v>
      </c>
      <c r="F4" s="6" t="s">
        <v>9</v>
      </c>
      <c r="G4" s="7" t="s">
        <v>10</v>
      </c>
      <c r="H4" s="7" t="s">
        <v>11</v>
      </c>
      <c r="I4" s="7" t="s">
        <v>12</v>
      </c>
      <c r="J4" s="7" t="s">
        <v>13</v>
      </c>
      <c r="K4" s="7" t="s">
        <v>14</v>
      </c>
      <c r="L4" s="5" t="s">
        <v>15</v>
      </c>
    </row>
    <row r="6" customFormat="false" ht="15" hidden="false" customHeight="true" outlineLevel="0" collapsed="false">
      <c r="A6" s="8" t="s">
        <v>277</v>
      </c>
      <c r="B6" s="9"/>
      <c r="C6" s="9"/>
      <c r="D6" s="9"/>
      <c r="E6" s="9"/>
      <c r="F6" s="9"/>
      <c r="G6" s="9"/>
      <c r="H6" s="9"/>
      <c r="I6" s="9"/>
      <c r="J6" s="9"/>
      <c r="K6" s="9"/>
      <c r="L6" s="9"/>
    </row>
    <row r="7" customFormat="false" ht="15" hidden="false" customHeight="true" outlineLevel="0" collapsed="false">
      <c r="A7" s="4" t="s">
        <v>278</v>
      </c>
      <c r="B7" s="83" t="n">
        <f aca="false">Tab2_Core_Returns!B62</f>
        <v>14522</v>
      </c>
      <c r="C7" s="83" t="n">
        <f aca="false">Tab2_Core_Returns!C62</f>
        <v>17879</v>
      </c>
      <c r="D7" s="83" t="n">
        <f aca="false">Tab2_Core_Returns!D62</f>
        <v>19696</v>
      </c>
      <c r="E7" s="83" t="n">
        <f aca="false">Tab2_Core_Returns!E62</f>
        <v>18693</v>
      </c>
      <c r="F7" s="83" t="n">
        <f aca="false">Tab2_Core_Returns!F62</f>
        <v>21577</v>
      </c>
      <c r="G7" s="84" t="n">
        <f aca="false">Tab2_Core_Returns!G62</f>
        <v>21661.2488808576</v>
      </c>
      <c r="H7" s="84" t="n">
        <f aca="false">Tab2_Core_Returns!H62</f>
        <v>27135.4797586075</v>
      </c>
      <c r="I7" s="84" t="n">
        <f aca="false">Tab2_Core_Returns!I62</f>
        <v>30075.3296784753</v>
      </c>
      <c r="J7" s="84" t="n">
        <f aca="false">Tab2_Core_Returns!J62</f>
        <v>33056.5425489259</v>
      </c>
      <c r="K7" s="84" t="n">
        <f aca="false">Tab2_Core_Returns!K62</f>
        <v>36235.5295128418</v>
      </c>
      <c r="L7" s="3" t="s">
        <v>229</v>
      </c>
    </row>
    <row r="8" customFormat="false" ht="15" hidden="false" customHeight="true" outlineLevel="0" collapsed="false">
      <c r="A8" s="10" t="s">
        <v>107</v>
      </c>
      <c r="B8" s="11" t="n">
        <f aca="false">Tab2_Core_Returns!B28</f>
        <v>12311</v>
      </c>
      <c r="C8" s="11" t="n">
        <f aca="false">Tab2_Core_Returns!C28</f>
        <v>14957</v>
      </c>
      <c r="D8" s="11" t="n">
        <f aca="false">Tab2_Core_Returns!D28</f>
        <v>17273</v>
      </c>
      <c r="E8" s="11" t="n">
        <f aca="false">Tab2_Core_Returns!E28</f>
        <v>19743</v>
      </c>
      <c r="F8" s="11" t="n">
        <f aca="false">Tab2_Core_Returns!F28</f>
        <v>20058</v>
      </c>
      <c r="G8" s="12" t="n">
        <f aca="false">Tab2_Core_Returns!G28</f>
        <v>24068.054312064</v>
      </c>
      <c r="H8" s="12" t="n">
        <f aca="false">Tab2_Core_Returns!H28</f>
        <v>27135.4797586075</v>
      </c>
      <c r="I8" s="12" t="n">
        <f aca="false">Tab2_Core_Returns!I28</f>
        <v>30075.3296784753</v>
      </c>
      <c r="J8" s="12" t="n">
        <f aca="false">Tab2_Core_Returns!J28</f>
        <v>33056.5425489259</v>
      </c>
      <c r="K8" s="12" t="n">
        <f aca="false">Tab2_Core_Returns!K28</f>
        <v>36235.5295128418</v>
      </c>
      <c r="L8" s="3" t="s">
        <v>229</v>
      </c>
    </row>
    <row r="10" customFormat="false" ht="15" hidden="false" customHeight="true" outlineLevel="0" collapsed="false">
      <c r="A10" s="8" t="s">
        <v>279</v>
      </c>
      <c r="B10" s="9"/>
      <c r="C10" s="9"/>
      <c r="D10" s="9"/>
      <c r="E10" s="9"/>
      <c r="F10" s="9"/>
      <c r="G10" s="9"/>
      <c r="H10" s="9"/>
      <c r="I10" s="9"/>
      <c r="J10" s="9"/>
      <c r="K10" s="9"/>
      <c r="L10" s="9"/>
    </row>
    <row r="11" customFormat="false" ht="15" hidden="false" customHeight="true" outlineLevel="0" collapsed="false">
      <c r="A11" s="10" t="s">
        <v>280</v>
      </c>
      <c r="B11" s="11" t="n">
        <f aca="false">Data!C55</f>
        <v>2798</v>
      </c>
      <c r="C11" s="11" t="n">
        <f aca="false">Data!D55</f>
        <v>3203</v>
      </c>
      <c r="D11" s="11" t="n">
        <f aca="false">Data!E55</f>
        <v>3751</v>
      </c>
      <c r="E11" s="11" t="n">
        <f aca="false">Data!F55</f>
        <v>4217</v>
      </c>
      <c r="F11" s="11" t="n">
        <f aca="false">Data!G55</f>
        <v>4634</v>
      </c>
      <c r="G11" s="22" t="n">
        <f aca="false">G8*G25</f>
        <v>5174.63167709376</v>
      </c>
      <c r="H11" s="22" t="n">
        <f aca="false">H8*H25</f>
        <v>5969.80554689365</v>
      </c>
      <c r="I11" s="22" t="n">
        <f aca="false">I8*I25</f>
        <v>6616.57252926456</v>
      </c>
      <c r="J11" s="22" t="n">
        <f aca="false">J8*J25</f>
        <v>7272.43936076371</v>
      </c>
      <c r="K11" s="22" t="n">
        <f aca="false">K8*K25</f>
        <v>7971.81649282519</v>
      </c>
      <c r="L11" s="3" t="s">
        <v>281</v>
      </c>
    </row>
    <row r="12" customFormat="false" ht="15" hidden="false" customHeight="true" outlineLevel="0" collapsed="false">
      <c r="A12" s="10" t="s">
        <v>282</v>
      </c>
      <c r="B12" s="11" t="n">
        <f aca="false">Data!C54</f>
        <v>8676</v>
      </c>
      <c r="C12" s="11" t="n">
        <f aca="false">Data!D54</f>
        <v>11589</v>
      </c>
      <c r="D12" s="11" t="n">
        <f aca="false">Data!E54</f>
        <v>12101</v>
      </c>
      <c r="E12" s="11" t="n">
        <f aca="false">Data!F54</f>
        <v>16713</v>
      </c>
      <c r="F12" s="11" t="n">
        <f aca="false">Data!G54</f>
        <v>18316</v>
      </c>
      <c r="G12" s="22" t="n">
        <f aca="false">G7*G15-G11</f>
        <v>20818.8669799354</v>
      </c>
      <c r="H12" s="22" t="n">
        <f aca="false">H7*H15-H11</f>
        <v>19808.9002237835</v>
      </c>
      <c r="I12" s="22" t="n">
        <f aca="false">I7*I15-I11</f>
        <v>21954.990665287</v>
      </c>
      <c r="J12" s="22" t="n">
        <f aca="false">J7*J15-J11</f>
        <v>24131.2760607159</v>
      </c>
      <c r="K12" s="22" t="n">
        <f aca="false">K7*K15-K11</f>
        <v>26451.9365443745</v>
      </c>
      <c r="L12" s="3" t="s">
        <v>283</v>
      </c>
    </row>
    <row r="13" customFormat="false" ht="15" hidden="false" customHeight="true" outlineLevel="0" collapsed="false">
      <c r="A13" s="25" t="s">
        <v>284</v>
      </c>
      <c r="B13" s="26" t="n">
        <f aca="false">B11+B12</f>
        <v>11474</v>
      </c>
      <c r="C13" s="26" t="n">
        <f aca="false">C11+C12</f>
        <v>14792</v>
      </c>
      <c r="D13" s="26" t="n">
        <f aca="false">D11+D12</f>
        <v>15852</v>
      </c>
      <c r="E13" s="26" t="n">
        <f aca="false">E11+E12</f>
        <v>20930</v>
      </c>
      <c r="F13" s="26" t="n">
        <f aca="false">F11+F12</f>
        <v>22950</v>
      </c>
      <c r="G13" s="27" t="n">
        <f aca="false">G11+G12</f>
        <v>25993.4986570291</v>
      </c>
      <c r="H13" s="27" t="n">
        <f aca="false">H11+H12</f>
        <v>25778.7057706771</v>
      </c>
      <c r="I13" s="27" t="n">
        <f aca="false">I11+I12</f>
        <v>28571.5631945515</v>
      </c>
      <c r="J13" s="27" t="n">
        <f aca="false">J11+J12</f>
        <v>31403.7154214796</v>
      </c>
      <c r="K13" s="27" t="n">
        <f aca="false">K11+K12</f>
        <v>34423.7530371997</v>
      </c>
      <c r="L13" s="3" t="s">
        <v>285</v>
      </c>
    </row>
    <row r="14" customFormat="false" ht="15" hidden="false" customHeight="true" outlineLevel="0" collapsed="false">
      <c r="A14" s="4" t="s">
        <v>286</v>
      </c>
      <c r="B14" s="23" t="n">
        <f aca="false">B7-B11-B12</f>
        <v>3048</v>
      </c>
      <c r="C14" s="23" t="n">
        <f aca="false">C7-C11-C12</f>
        <v>3087</v>
      </c>
      <c r="D14" s="23" t="n">
        <f aca="false">D7-D11-D12</f>
        <v>3844</v>
      </c>
      <c r="E14" s="23" t="n">
        <f aca="false">E7-E11-E12</f>
        <v>-2237</v>
      </c>
      <c r="F14" s="23" t="n">
        <f aca="false">F7-F11-F12</f>
        <v>-1373</v>
      </c>
      <c r="G14" s="24" t="n">
        <f aca="false">G7-G11-G12</f>
        <v>-4332.24977617152</v>
      </c>
      <c r="H14" s="24" t="n">
        <f aca="false">H7-H11-H12</f>
        <v>1356.77398793037</v>
      </c>
      <c r="I14" s="24" t="n">
        <f aca="false">I7-I11-I12</f>
        <v>1503.76648392377</v>
      </c>
      <c r="J14" s="24" t="n">
        <f aca="false">J7-J11-J12</f>
        <v>1652.8271274463</v>
      </c>
      <c r="K14" s="24" t="n">
        <f aca="false">K7-K11-K12</f>
        <v>1811.77647564209</v>
      </c>
      <c r="L14" s="3" t="s">
        <v>287</v>
      </c>
    </row>
    <row r="15" customFormat="false" ht="15" hidden="false" customHeight="true" outlineLevel="0" collapsed="false">
      <c r="A15" s="10" t="s">
        <v>288</v>
      </c>
      <c r="B15" s="85" t="n">
        <f aca="false">B13/B7</f>
        <v>0.790111554882248</v>
      </c>
      <c r="C15" s="85" t="n">
        <f aca="false">C13/C7</f>
        <v>0.827339336651938</v>
      </c>
      <c r="D15" s="85" t="n">
        <f aca="false">D13/D7</f>
        <v>0.804833468724614</v>
      </c>
      <c r="E15" s="85" t="n">
        <f aca="false">E13/E7</f>
        <v>1.1196704648799</v>
      </c>
      <c r="F15" s="85" t="n">
        <f aca="false">F13/F7</f>
        <v>1.06363257171989</v>
      </c>
      <c r="G15" s="16" t="n">
        <v>1.2</v>
      </c>
      <c r="H15" s="16" t="n">
        <v>0.95</v>
      </c>
      <c r="I15" s="16" t="n">
        <v>0.95</v>
      </c>
      <c r="J15" s="16" t="n">
        <v>0.95</v>
      </c>
      <c r="K15" s="16" t="n">
        <v>0.95</v>
      </c>
      <c r="L15" s="3" t="s">
        <v>289</v>
      </c>
    </row>
    <row r="16" customFormat="false" ht="15" hidden="false" customHeight="true" outlineLevel="0" collapsed="false">
      <c r="A16" s="4" t="s">
        <v>290</v>
      </c>
      <c r="B16" s="14"/>
      <c r="C16" s="14"/>
      <c r="D16" s="14"/>
      <c r="E16" s="14"/>
      <c r="F16" s="50" t="n">
        <f aca="false">SUM(B13:F13)/SUM(B7:F7)</f>
        <v>0.931046802429439</v>
      </c>
      <c r="G16" s="40"/>
      <c r="H16" s="40"/>
      <c r="I16" s="40"/>
      <c r="J16" s="40"/>
      <c r="K16" s="51" t="n">
        <f aca="false">SUM(G13:K13)/SUM(G7:K7)</f>
        <v>0.986549414533304</v>
      </c>
      <c r="L16" s="3" t="s">
        <v>291</v>
      </c>
    </row>
    <row r="17" customFormat="false" ht="15" hidden="false" customHeight="true" outlineLevel="0" collapsed="false">
      <c r="A17" s="13" t="s">
        <v>292</v>
      </c>
      <c r="B17" s="15" t="n">
        <f aca="false">B12/B13</f>
        <v>0.756144326302946</v>
      </c>
      <c r="C17" s="15" t="n">
        <f aca="false">C12/C13</f>
        <v>0.783464034613305</v>
      </c>
      <c r="D17" s="15" t="n">
        <f aca="false">D12/D13</f>
        <v>0.763373706787787</v>
      </c>
      <c r="E17" s="15" t="n">
        <f aca="false">E12/E13</f>
        <v>0.798518872431916</v>
      </c>
      <c r="F17" s="15" t="n">
        <f aca="false">F12/F13</f>
        <v>0.798082788671024</v>
      </c>
      <c r="G17" s="21" t="n">
        <f aca="false">G12/G13</f>
        <v>0.800925925925926</v>
      </c>
      <c r="H17" s="21" t="n">
        <f aca="false">H12/H13</f>
        <v>0.768421052631579</v>
      </c>
      <c r="I17" s="21" t="n">
        <f aca="false">I12/I13</f>
        <v>0.768421052631579</v>
      </c>
      <c r="J17" s="21" t="n">
        <f aca="false">J12/J13</f>
        <v>0.768421052631579</v>
      </c>
      <c r="K17" s="21" t="n">
        <f aca="false">K12/K13</f>
        <v>0.768421052631579</v>
      </c>
      <c r="L17" s="3"/>
    </row>
    <row r="18" customFormat="false" ht="15" hidden="false" customHeight="true" outlineLevel="0" collapsed="false">
      <c r="A18" s="13" t="s">
        <v>293</v>
      </c>
      <c r="B18" s="55"/>
      <c r="C18" s="28" t="n">
        <f aca="false">Tab2_Core_Returns!C49-Tab2_Core_Returns!B49</f>
        <v>1473</v>
      </c>
      <c r="D18" s="28" t="n">
        <f aca="false">Tab2_Core_Returns!D49-Tab2_Core_Returns!C49</f>
        <v>-1987</v>
      </c>
      <c r="E18" s="28" t="n">
        <f aca="false">Tab2_Core_Returns!E49-Tab2_Core_Returns!D49</f>
        <v>373</v>
      </c>
      <c r="F18" s="28" t="n">
        <f aca="false">Tab2_Core_Returns!F49-Tab2_Core_Returns!E49</f>
        <v>4335</v>
      </c>
      <c r="G18" s="22" t="n">
        <f aca="false">Tab2_Core_Returns!G49-Tab2_Core_Returns!F49</f>
        <v>-1313</v>
      </c>
      <c r="H18" s="22" t="n">
        <f aca="false">Tab2_Core_Returns!H49-Tab2_Core_Returns!G49</f>
        <v>0</v>
      </c>
      <c r="I18" s="22" t="n">
        <f aca="false">Tab2_Core_Returns!I49-Tab2_Core_Returns!H49</f>
        <v>0</v>
      </c>
      <c r="J18" s="22" t="n">
        <f aca="false">Tab2_Core_Returns!J49-Tab2_Core_Returns!I49</f>
        <v>0</v>
      </c>
      <c r="K18" s="22" t="n">
        <f aca="false">Tab2_Core_Returns!K49-Tab2_Core_Returns!J49</f>
        <v>0</v>
      </c>
      <c r="L18" s="3"/>
    </row>
    <row r="20" customFormat="false" ht="15" hidden="false" customHeight="true" outlineLevel="0" collapsed="false">
      <c r="A20" s="8" t="s">
        <v>294</v>
      </c>
      <c r="B20" s="9"/>
      <c r="C20" s="9"/>
      <c r="D20" s="9"/>
      <c r="E20" s="9"/>
      <c r="F20" s="9"/>
      <c r="G20" s="9"/>
      <c r="H20" s="9"/>
      <c r="I20" s="9"/>
      <c r="J20" s="9"/>
      <c r="K20" s="9"/>
      <c r="L20" s="9"/>
    </row>
    <row r="21" customFormat="false" ht="15" hidden="false" customHeight="true" outlineLevel="0" collapsed="false">
      <c r="A21" s="10" t="s">
        <v>295</v>
      </c>
      <c r="B21" s="86" t="n">
        <f aca="false">Data!C77</f>
        <v>0.32</v>
      </c>
      <c r="C21" s="86" t="n">
        <f aca="false">Data!D77</f>
        <v>0.375</v>
      </c>
      <c r="D21" s="86" t="n">
        <f aca="false">Data!E77</f>
        <v>0.45</v>
      </c>
      <c r="E21" s="86" t="n">
        <f aca="false">Data!F77</f>
        <v>0.52</v>
      </c>
      <c r="F21" s="86" t="n">
        <f aca="false">Data!G77</f>
        <v>0.59</v>
      </c>
      <c r="G21" s="20" t="n">
        <f aca="false">G22/4</f>
        <v>0.68009376241862</v>
      </c>
      <c r="H21" s="20" t="n">
        <f aca="false">H22/4</f>
        <v>0.80605641801921</v>
      </c>
      <c r="I21" s="20" t="n">
        <f aca="false">I22/4</f>
        <v>0.915665528507279</v>
      </c>
      <c r="J21" s="20" t="n">
        <f aca="false">J22/4</f>
        <v>1.03153134264208</v>
      </c>
      <c r="K21" s="20" t="n">
        <f aca="false">K22/4</f>
        <v>1.15893250770759</v>
      </c>
      <c r="L21" s="3" t="s">
        <v>296</v>
      </c>
    </row>
    <row r="22" customFormat="false" ht="15" hidden="false" customHeight="true" outlineLevel="0" collapsed="false">
      <c r="A22" s="4" t="s">
        <v>297</v>
      </c>
      <c r="B22" s="87" t="n">
        <f aca="false">B21*4</f>
        <v>1.28</v>
      </c>
      <c r="C22" s="87" t="n">
        <f aca="false">C21*4</f>
        <v>1.5</v>
      </c>
      <c r="D22" s="87" t="n">
        <f aca="false">D21*4</f>
        <v>1.8</v>
      </c>
      <c r="E22" s="87" t="n">
        <f aca="false">E21*4</f>
        <v>2.08</v>
      </c>
      <c r="F22" s="87" t="n">
        <f aca="false">F21*4</f>
        <v>2.36</v>
      </c>
      <c r="G22" s="88" t="n">
        <f aca="false">G11/AVERAGE(F28,G28)</f>
        <v>2.72037504967448</v>
      </c>
      <c r="H22" s="88" t="n">
        <f aca="false">H11/AVERAGE(G28,H28)</f>
        <v>3.22422567207684</v>
      </c>
      <c r="I22" s="88" t="n">
        <f aca="false">I11/AVERAGE(H28,I28)</f>
        <v>3.66266211402912</v>
      </c>
      <c r="J22" s="88" t="n">
        <f aca="false">J11/AVERAGE(I28,J28)</f>
        <v>4.12612537056833</v>
      </c>
      <c r="K22" s="88" t="n">
        <f aca="false">K11/AVERAGE(J28,K28)</f>
        <v>4.63573003083037</v>
      </c>
      <c r="L22" s="3" t="s">
        <v>298</v>
      </c>
    </row>
    <row r="23" customFormat="false" ht="15" hidden="false" customHeight="true" outlineLevel="0" collapsed="false">
      <c r="A23" s="13" t="s">
        <v>299</v>
      </c>
      <c r="B23" s="14"/>
      <c r="C23" s="15" t="n">
        <f aca="false">C22/B22-1</f>
        <v>0.171875</v>
      </c>
      <c r="D23" s="15" t="n">
        <f aca="false">D22/C22-1</f>
        <v>0.2</v>
      </c>
      <c r="E23" s="15" t="n">
        <f aca="false">E22/D22-1</f>
        <v>0.155555555555556</v>
      </c>
      <c r="F23" s="15" t="n">
        <f aca="false">F22/E22-1</f>
        <v>0.134615384615385</v>
      </c>
      <c r="G23" s="21" t="n">
        <f aca="false">G22/F22-1</f>
        <v>0.152701292234949</v>
      </c>
      <c r="H23" s="21" t="n">
        <f aca="false">H22/G22-1</f>
        <v>0.185213661058482</v>
      </c>
      <c r="I23" s="21" t="n">
        <f aca="false">I22/H22-1</f>
        <v>0.135981933817265</v>
      </c>
      <c r="J23" s="21" t="n">
        <f aca="false">J22/I22-1</f>
        <v>0.126537267733218</v>
      </c>
      <c r="K23" s="21" t="n">
        <f aca="false">K22/J22-1</f>
        <v>0.123506828924068</v>
      </c>
      <c r="L23" s="3"/>
    </row>
    <row r="24" customFormat="false" ht="15" hidden="false" customHeight="true" outlineLevel="0" collapsed="false">
      <c r="A24" s="4" t="s">
        <v>300</v>
      </c>
      <c r="B24" s="14"/>
      <c r="C24" s="14"/>
      <c r="D24" s="14"/>
      <c r="E24" s="14"/>
      <c r="F24" s="50" t="n">
        <f aca="false">(F22/B22)^(1/4)-1</f>
        <v>0.165267163100388</v>
      </c>
      <c r="G24" s="40"/>
      <c r="H24" s="40"/>
      <c r="I24" s="40"/>
      <c r="J24" s="40"/>
      <c r="K24" s="51" t="n">
        <f aca="false">(K22/F22)^(1/5)-1</f>
        <v>0.14456701689605</v>
      </c>
      <c r="L24" s="3" t="s">
        <v>301</v>
      </c>
    </row>
    <row r="25" customFormat="false" ht="15" hidden="false" customHeight="true" outlineLevel="0" collapsed="false">
      <c r="A25" s="10" t="s">
        <v>302</v>
      </c>
      <c r="B25" s="85" t="n">
        <f aca="false">B11/B8</f>
        <v>0.22727641946227</v>
      </c>
      <c r="C25" s="85" t="n">
        <f aca="false">C11/C8</f>
        <v>0.214147222036505</v>
      </c>
      <c r="D25" s="85" t="n">
        <f aca="false">D11/D8</f>
        <v>0.21715972905691</v>
      </c>
      <c r="E25" s="85" t="n">
        <f aca="false">E11/E8</f>
        <v>0.213594691789495</v>
      </c>
      <c r="F25" s="85" t="n">
        <f aca="false">F11/F8</f>
        <v>0.231030012962409</v>
      </c>
      <c r="G25" s="16" t="n">
        <v>0.215</v>
      </c>
      <c r="H25" s="16" t="n">
        <v>0.22</v>
      </c>
      <c r="I25" s="16" t="n">
        <v>0.22</v>
      </c>
      <c r="J25" s="16" t="n">
        <v>0.22</v>
      </c>
      <c r="K25" s="16" t="n">
        <v>0.22</v>
      </c>
      <c r="L25" s="3" t="s">
        <v>303</v>
      </c>
    </row>
    <row r="27" customFormat="false" ht="15" hidden="false" customHeight="true" outlineLevel="0" collapsed="false">
      <c r="A27" s="8" t="s">
        <v>304</v>
      </c>
      <c r="B27" s="9"/>
      <c r="C27" s="9"/>
      <c r="D27" s="9"/>
      <c r="E27" s="9"/>
      <c r="F27" s="9"/>
      <c r="G27" s="9"/>
      <c r="H27" s="9"/>
      <c r="I27" s="9"/>
      <c r="J27" s="9"/>
      <c r="K27" s="9"/>
      <c r="L27" s="9"/>
    </row>
    <row r="28" customFormat="false" ht="15" hidden="false" customHeight="true" outlineLevel="0" collapsed="false">
      <c r="A28" s="10" t="s">
        <v>305</v>
      </c>
      <c r="B28" s="11" t="n">
        <f aca="false">Data!C76</f>
        <v>2161</v>
      </c>
      <c r="C28" s="11" t="n">
        <f aca="false">Data!D76</f>
        <v>2103</v>
      </c>
      <c r="D28" s="11" t="n">
        <f aca="false">Data!E76</f>
        <v>2047</v>
      </c>
      <c r="E28" s="11" t="n">
        <f aca="false">Data!F76</f>
        <v>1983</v>
      </c>
      <c r="F28" s="11" t="n">
        <f aca="false">Data!G76</f>
        <v>1930</v>
      </c>
      <c r="G28" s="22" t="n">
        <f aca="false">F28-G12/G35</f>
        <v>1874.35166666667</v>
      </c>
      <c r="H28" s="22" t="n">
        <f aca="false">G28-H12/H35</f>
        <v>1828.74244277778</v>
      </c>
      <c r="I28" s="22" t="n">
        <f aca="false">H28-I12/I35</f>
        <v>1784.24304333685</v>
      </c>
      <c r="J28" s="22" t="n">
        <f aca="false">I28-J12/J35</f>
        <v>1740.82646261566</v>
      </c>
      <c r="K28" s="22" t="n">
        <f aca="false">J28-K12/K35</f>
        <v>1698.46635202534</v>
      </c>
      <c r="L28" s="3" t="s">
        <v>306</v>
      </c>
    </row>
    <row r="29" customFormat="false" ht="15" hidden="false" customHeight="true" outlineLevel="0" collapsed="false">
      <c r="A29" s="13" t="s">
        <v>307</v>
      </c>
      <c r="B29" s="14"/>
      <c r="C29" s="15" t="n">
        <f aca="false">C28/B28-1</f>
        <v>-0.026839426191578</v>
      </c>
      <c r="D29" s="15" t="n">
        <f aca="false">D28/C28-1</f>
        <v>-0.0266286257727056</v>
      </c>
      <c r="E29" s="15" t="n">
        <f aca="false">E28/D28-1</f>
        <v>-0.0312652662432829</v>
      </c>
      <c r="F29" s="15" t="n">
        <f aca="false">F28/E28-1</f>
        <v>-0.0267271810388301</v>
      </c>
      <c r="G29" s="21" t="n">
        <f aca="false">G28/F28-1</f>
        <v>-0.0288333333333334</v>
      </c>
      <c r="H29" s="21" t="n">
        <f aca="false">H28/G28-1</f>
        <v>-0.0243333333333333</v>
      </c>
      <c r="I29" s="21" t="n">
        <f aca="false">I28/H28-1</f>
        <v>-0.0243333333333334</v>
      </c>
      <c r="J29" s="21" t="n">
        <f aca="false">J28/I28-1</f>
        <v>-0.0243333333333333</v>
      </c>
      <c r="K29" s="21" t="n">
        <f aca="false">K28/J28-1</f>
        <v>-0.0243333333333333</v>
      </c>
      <c r="L29" s="3"/>
    </row>
    <row r="30" customFormat="false" ht="15" hidden="false" customHeight="true" outlineLevel="0" collapsed="false">
      <c r="A30" s="4" t="s">
        <v>308</v>
      </c>
      <c r="B30" s="14"/>
      <c r="C30" s="14"/>
      <c r="D30" s="14"/>
      <c r="E30" s="14"/>
      <c r="F30" s="50" t="n">
        <f aca="false">F28/B28-1</f>
        <v>-0.106894956038871</v>
      </c>
      <c r="G30" s="40"/>
      <c r="H30" s="40"/>
      <c r="I30" s="40"/>
      <c r="J30" s="40"/>
      <c r="K30" s="51" t="n">
        <f aca="false">K28/F28-1</f>
        <v>-0.119965620712259</v>
      </c>
      <c r="L30" s="3" t="s">
        <v>301</v>
      </c>
    </row>
    <row r="31" customFormat="false" ht="15" hidden="false" customHeight="true" outlineLevel="0" collapsed="false">
      <c r="A31" s="13" t="s">
        <v>309</v>
      </c>
      <c r="B31" s="15" t="n">
        <f aca="false">B12/B8</f>
        <v>0.70473560230688</v>
      </c>
      <c r="C31" s="15" t="n">
        <f aca="false">C12/C8</f>
        <v>0.774821153974728</v>
      </c>
      <c r="D31" s="15" t="n">
        <f aca="false">D12/D8</f>
        <v>0.700573148845018</v>
      </c>
      <c r="E31" s="15" t="n">
        <f aca="false">E12/E8</f>
        <v>0.84652788330041</v>
      </c>
      <c r="F31" s="15" t="n">
        <f aca="false">F12/F8</f>
        <v>0.913151859607139</v>
      </c>
      <c r="G31" s="21" t="n">
        <f aca="false">G12/G8</f>
        <v>0.865</v>
      </c>
      <c r="H31" s="21" t="n">
        <f aca="false">H12/H8</f>
        <v>0.73</v>
      </c>
      <c r="I31" s="21" t="n">
        <f aca="false">I12/I8</f>
        <v>0.73</v>
      </c>
      <c r="J31" s="21" t="n">
        <f aca="false">J12/J8</f>
        <v>0.73</v>
      </c>
      <c r="K31" s="21" t="n">
        <f aca="false">K12/K8</f>
        <v>0.73</v>
      </c>
      <c r="L31" s="3"/>
    </row>
    <row r="33" customFormat="false" ht="15" hidden="false" customHeight="true" outlineLevel="0" collapsed="false">
      <c r="A33" s="8" t="s">
        <v>310</v>
      </c>
      <c r="B33" s="9"/>
      <c r="C33" s="9"/>
      <c r="D33" s="9"/>
      <c r="E33" s="9"/>
      <c r="F33" s="9"/>
      <c r="G33" s="9"/>
      <c r="H33" s="9"/>
      <c r="I33" s="9"/>
      <c r="J33" s="9"/>
      <c r="K33" s="9"/>
      <c r="L33" s="9"/>
    </row>
    <row r="34" customFormat="false" ht="15" hidden="false" customHeight="true" outlineLevel="0" collapsed="false">
      <c r="A34" s="10" t="s">
        <v>311</v>
      </c>
      <c r="B34" s="89" t="n">
        <f aca="false">B36/B8</f>
        <v>39.1002152546503</v>
      </c>
      <c r="C34" s="89" t="n">
        <f aca="false">C36/C8</f>
        <v>24.9781339840877</v>
      </c>
      <c r="D34" s="89" t="n">
        <f aca="false">D36/D8</f>
        <v>27.2581757656458</v>
      </c>
      <c r="E34" s="89" t="n">
        <f aca="false">E36/E8</f>
        <v>27.6161601580307</v>
      </c>
      <c r="F34" s="89" t="n">
        <f aca="false">F36/F8</f>
        <v>32.847911057932</v>
      </c>
      <c r="G34" s="90" t="n">
        <v>30</v>
      </c>
      <c r="H34" s="90" t="n">
        <v>30</v>
      </c>
      <c r="I34" s="90" t="n">
        <v>30</v>
      </c>
      <c r="J34" s="90" t="n">
        <v>30</v>
      </c>
      <c r="K34" s="90" t="n">
        <v>30</v>
      </c>
      <c r="L34" s="3" t="s">
        <v>312</v>
      </c>
    </row>
    <row r="35" customFormat="false" ht="15" hidden="false" customHeight="true" outlineLevel="0" collapsed="false">
      <c r="A35" s="10" t="s">
        <v>313</v>
      </c>
      <c r="B35" s="86" t="n">
        <f aca="false">Data!C75</f>
        <v>222.75</v>
      </c>
      <c r="C35" s="86" t="n">
        <f aca="false">Data!D75</f>
        <v>177.65</v>
      </c>
      <c r="D35" s="86" t="n">
        <f aca="false">Data!E75</f>
        <v>230.01</v>
      </c>
      <c r="E35" s="86" t="n">
        <f aca="false">Data!F75</f>
        <v>274.95</v>
      </c>
      <c r="F35" s="86" t="n">
        <f aca="false">Data!G75</f>
        <v>341.38</v>
      </c>
      <c r="G35" s="91" t="n">
        <f aca="false">G34*G8/F28</f>
        <v>374.11483386628</v>
      </c>
      <c r="H35" s="91" t="n">
        <f aca="false">H34*H8/G28</f>
        <v>434.317853599987</v>
      </c>
      <c r="I35" s="91" t="n">
        <f aca="false">I34*I8/H28</f>
        <v>493.377235223877</v>
      </c>
      <c r="J35" s="91" t="n">
        <f aca="false">J34*J8/I28</f>
        <v>555.807842530875</v>
      </c>
      <c r="K35" s="91" t="n">
        <f aca="false">K34*K8/J28</f>
        <v>624.453906652991</v>
      </c>
      <c r="L35" s="3" t="s">
        <v>314</v>
      </c>
    </row>
    <row r="36" customFormat="false" ht="15" hidden="false" customHeight="true" outlineLevel="0" collapsed="false">
      <c r="A36" s="4" t="s">
        <v>315</v>
      </c>
      <c r="B36" s="23" t="n">
        <f aca="false">B35*B28</f>
        <v>481362.75</v>
      </c>
      <c r="C36" s="23" t="n">
        <f aca="false">C35*C28</f>
        <v>373597.95</v>
      </c>
      <c r="D36" s="23" t="n">
        <f aca="false">D35*D28</f>
        <v>470830.47</v>
      </c>
      <c r="E36" s="23" t="n">
        <f aca="false">E35*E28</f>
        <v>545225.85</v>
      </c>
      <c r="F36" s="23" t="n">
        <f aca="false">F35*F28</f>
        <v>658863.4</v>
      </c>
      <c r="G36" s="24" t="n">
        <f aca="false">G35*G28</f>
        <v>701222.762381985</v>
      </c>
      <c r="H36" s="24" t="n">
        <f aca="false">H35*H28</f>
        <v>794255.492534441</v>
      </c>
      <c r="I36" s="24" t="n">
        <f aca="false">I35*I28</f>
        <v>880304.899688971</v>
      </c>
      <c r="J36" s="24" t="n">
        <f aca="false">J35*J28</f>
        <v>967565.000407062</v>
      </c>
      <c r="K36" s="24" t="n">
        <f aca="false">K35*K28</f>
        <v>1060613.94884088</v>
      </c>
      <c r="L36" s="3" t="s">
        <v>316</v>
      </c>
    </row>
    <row r="37" customFormat="false" ht="15" hidden="false" customHeight="true" outlineLevel="0" collapsed="false">
      <c r="A37" s="13" t="s">
        <v>317</v>
      </c>
      <c r="B37" s="15" t="n">
        <f aca="false">B11/B36</f>
        <v>0.00581266414985372</v>
      </c>
      <c r="C37" s="15" t="n">
        <f aca="false">C11/C36</f>
        <v>0.00857338751457282</v>
      </c>
      <c r="D37" s="15" t="n">
        <f aca="false">D11/D36</f>
        <v>0.00796677411298381</v>
      </c>
      <c r="E37" s="15" t="n">
        <f aca="false">E11/E36</f>
        <v>0.00773440951121448</v>
      </c>
      <c r="F37" s="15" t="n">
        <f aca="false">F11/F36</f>
        <v>0.00703332435828125</v>
      </c>
      <c r="G37" s="21" t="n">
        <f aca="false">G11/G36</f>
        <v>0.00737944053543848</v>
      </c>
      <c r="H37" s="21" t="n">
        <f aca="false">H11/H36</f>
        <v>0.0075162282200205</v>
      </c>
      <c r="I37" s="21" t="n">
        <f aca="false">I11/I36</f>
        <v>0.0075162282200205</v>
      </c>
      <c r="J37" s="21" t="n">
        <f aca="false">J11/J36</f>
        <v>0.0075162282200205</v>
      </c>
      <c r="K37" s="21" t="n">
        <f aca="false">K11/K36</f>
        <v>0.0075162282200205</v>
      </c>
      <c r="L37" s="3"/>
    </row>
    <row r="38" customFormat="false" ht="15" hidden="false" customHeight="true" outlineLevel="0" collapsed="false">
      <c r="A38" s="13" t="s">
        <v>318</v>
      </c>
      <c r="B38" s="15" t="n">
        <f aca="false">B12/B36</f>
        <v>0.0180238292223484</v>
      </c>
      <c r="C38" s="15" t="n">
        <f aca="false">C12/C36</f>
        <v>0.0310199774918465</v>
      </c>
      <c r="D38" s="15" t="n">
        <f aca="false">D12/D36</f>
        <v>0.0257013952389275</v>
      </c>
      <c r="E38" s="15" t="n">
        <f aca="false">E12/E36</f>
        <v>0.030653352184237</v>
      </c>
      <c r="F38" s="15" t="n">
        <f aca="false">F12/F36</f>
        <v>0.0277993890691151</v>
      </c>
      <c r="G38" s="21" t="n">
        <f aca="false">G12/G36</f>
        <v>0.0296893770379269</v>
      </c>
      <c r="H38" s="21" t="n">
        <f aca="false">H12/H36</f>
        <v>0.0249402118209771</v>
      </c>
      <c r="I38" s="21" t="n">
        <f aca="false">I12/I36</f>
        <v>0.0249402118209771</v>
      </c>
      <c r="J38" s="21" t="n">
        <f aca="false">J12/J36</f>
        <v>0.0249402118209771</v>
      </c>
      <c r="K38" s="21" t="n">
        <f aca="false">K12/K36</f>
        <v>0.0249402118209771</v>
      </c>
      <c r="L38" s="3"/>
    </row>
    <row r="39" customFormat="false" ht="15" hidden="false" customHeight="true" outlineLevel="0" collapsed="false">
      <c r="A39" s="4" t="s">
        <v>319</v>
      </c>
      <c r="B39" s="78" t="n">
        <f aca="false">B13/B36</f>
        <v>0.0238364933722021</v>
      </c>
      <c r="C39" s="78" t="n">
        <f aca="false">C13/C36</f>
        <v>0.0395933650064193</v>
      </c>
      <c r="D39" s="78" t="n">
        <f aca="false">D13/D36</f>
        <v>0.0336681693519113</v>
      </c>
      <c r="E39" s="78" t="n">
        <f aca="false">E13/E36</f>
        <v>0.0383877616954515</v>
      </c>
      <c r="F39" s="78" t="n">
        <f aca="false">F13/F36</f>
        <v>0.0348327134273963</v>
      </c>
      <c r="G39" s="51" t="n">
        <f aca="false">G13/G36</f>
        <v>0.0370688175733654</v>
      </c>
      <c r="H39" s="51" t="n">
        <f aca="false">H13/H36</f>
        <v>0.0324564400409976</v>
      </c>
      <c r="I39" s="51" t="n">
        <f aca="false">I13/I36</f>
        <v>0.0324564400409976</v>
      </c>
      <c r="J39" s="51" t="n">
        <f aca="false">J13/J36</f>
        <v>0.0324564400409976</v>
      </c>
      <c r="K39" s="51" t="n">
        <f aca="false">K13/K36</f>
        <v>0.0324564400409976</v>
      </c>
      <c r="L39" s="3" t="s">
        <v>320</v>
      </c>
    </row>
    <row r="40" customFormat="false" ht="15" hidden="false" customHeight="true" outlineLevel="0" collapsed="false">
      <c r="A40" s="13" t="s">
        <v>321</v>
      </c>
      <c r="B40" s="15" t="n">
        <f aca="false">B7/B36</f>
        <v>0.0301685163631793</v>
      </c>
      <c r="C40" s="15" t="n">
        <f aca="false">C7/C36</f>
        <v>0.0478562583119099</v>
      </c>
      <c r="D40" s="15" t="n">
        <f aca="false">D7/D36</f>
        <v>0.0418324667900104</v>
      </c>
      <c r="E40" s="15" t="n">
        <f aca="false">E7/E36</f>
        <v>0.0342848747908779</v>
      </c>
      <c r="F40" s="15" t="n">
        <f aca="false">F7/F36</f>
        <v>0.0327488216829164</v>
      </c>
      <c r="G40" s="21" t="n">
        <f aca="false">G7/G36</f>
        <v>0.0308906813111378</v>
      </c>
      <c r="H40" s="21" t="n">
        <f aca="false">H7/H36</f>
        <v>0.0341646737273659</v>
      </c>
      <c r="I40" s="21" t="n">
        <f aca="false">I7/I36</f>
        <v>0.0341646737273659</v>
      </c>
      <c r="J40" s="21" t="n">
        <f aca="false">J7/J36</f>
        <v>0.0341646737273659</v>
      </c>
      <c r="K40" s="21" t="n">
        <f aca="false">K7/K36</f>
        <v>0.0341646737273659</v>
      </c>
      <c r="L40" s="3"/>
    </row>
    <row r="42" customFormat="false" ht="15" hidden="false" customHeight="true" outlineLevel="0" collapsed="false">
      <c r="A42" s="4" t="s">
        <v>64</v>
      </c>
    </row>
    <row r="43" customFormat="false" ht="15" hidden="false" customHeight="true" outlineLevel="0" collapsed="false">
      <c r="A43" s="3" t="s">
        <v>322</v>
      </c>
    </row>
    <row r="44" customFormat="false" ht="15" hidden="false" customHeight="true" outlineLevel="0" collapsed="false">
      <c r="A44" s="3" t="s">
        <v>323</v>
      </c>
    </row>
    <row r="45" customFormat="false" ht="15" hidden="false" customHeight="true" outlineLevel="0" collapsed="false">
      <c r="A45" s="3" t="s">
        <v>324</v>
      </c>
    </row>
    <row r="46" customFormat="false" ht="15" hidden="false" customHeight="true" outlineLevel="0" collapsed="false">
      <c r="A46" s="3" t="s">
        <v>325</v>
      </c>
    </row>
    <row r="47" customFormat="false" ht="15" hidden="false" customHeight="true" outlineLevel="0" collapsed="false">
      <c r="A47" s="3" t="s">
        <v>326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6" min="2" style="0" width="12"/>
    <col collapsed="false" customWidth="true" hidden="false" outlineLevel="0" max="7" min="7" style="0" width="95"/>
  </cols>
  <sheetData>
    <row r="1" customFormat="false" ht="17.35" hidden="false" customHeight="false" outlineLevel="0" collapsed="false">
      <c r="A1" s="92" t="s">
        <v>327</v>
      </c>
    </row>
    <row r="2" customFormat="false" ht="15" hidden="false" customHeight="false" outlineLevel="0" collapsed="false">
      <c r="A2" s="93" t="s">
        <v>328</v>
      </c>
    </row>
    <row r="4" customFormat="false" ht="15" hidden="false" customHeight="false" outlineLevel="0" collapsed="false">
      <c r="A4" s="75" t="s">
        <v>329</v>
      </c>
      <c r="B4" s="76" t="s">
        <v>5</v>
      </c>
      <c r="C4" s="76" t="s">
        <v>6</v>
      </c>
      <c r="D4" s="76" t="s">
        <v>7</v>
      </c>
      <c r="E4" s="76" t="s">
        <v>8</v>
      </c>
      <c r="F4" s="76" t="s">
        <v>9</v>
      </c>
      <c r="G4" s="75" t="s">
        <v>15</v>
      </c>
    </row>
    <row r="6" customFormat="false" ht="15" hidden="false" customHeight="false" outlineLevel="0" collapsed="false">
      <c r="A6" s="94" t="s">
        <v>330</v>
      </c>
      <c r="B6" s="95"/>
      <c r="C6" s="95"/>
      <c r="D6" s="95"/>
      <c r="E6" s="95"/>
      <c r="F6" s="95"/>
      <c r="G6" s="95"/>
    </row>
    <row r="7" customFormat="false" ht="15" hidden="false" customHeight="false" outlineLevel="0" collapsed="false">
      <c r="A7" s="96" t="s">
        <v>331</v>
      </c>
      <c r="B7" s="97" t="n">
        <f aca="false">Data_MA!C9</f>
        <v>5974</v>
      </c>
      <c r="C7" s="97" t="n">
        <f aca="false">Data_MA!D9</f>
        <v>6571</v>
      </c>
      <c r="D7" s="97" t="n">
        <f aca="false">Data_MA!E9</f>
        <v>7345</v>
      </c>
      <c r="E7" s="97" t="n">
        <f aca="false">Data_MA!F9</f>
        <v>8003</v>
      </c>
      <c r="F7" s="97" t="n">
        <f aca="false">Data_MA!G9</f>
        <v>8799</v>
      </c>
      <c r="G7" s="93" t="s">
        <v>332</v>
      </c>
    </row>
    <row r="8" customFormat="false" ht="15" hidden="false" customHeight="false" outlineLevel="0" collapsed="false">
      <c r="A8" s="98" t="s">
        <v>333</v>
      </c>
      <c r="B8" s="99" t="n">
        <f aca="false">Data_MA!C12</f>
        <v>18884</v>
      </c>
      <c r="C8" s="99" t="n">
        <f aca="false">Data_MA!D12</f>
        <v>22237</v>
      </c>
      <c r="D8" s="99" t="n">
        <f aca="false">Data_MA!E12</f>
        <v>25098</v>
      </c>
      <c r="E8" s="99" t="n">
        <f aca="false">Data_MA!F12</f>
        <v>28167</v>
      </c>
      <c r="F8" s="99" t="n">
        <f aca="false">Data_MA!G12</f>
        <v>32791</v>
      </c>
      <c r="G8" s="93"/>
    </row>
    <row r="9" customFormat="false" ht="15" hidden="false" customHeight="false" outlineLevel="0" collapsed="false">
      <c r="A9" s="13" t="s">
        <v>113</v>
      </c>
      <c r="C9" s="100" t="n">
        <f aca="false">C8/B8-1</f>
        <v>0.17755772082186</v>
      </c>
      <c r="D9" s="100" t="n">
        <f aca="false">D8/C8-1</f>
        <v>0.128659441471422</v>
      </c>
      <c r="E9" s="100" t="n">
        <f aca="false">E8/D8-1</f>
        <v>0.122280659813531</v>
      </c>
      <c r="F9" s="100" t="n">
        <f aca="false">F8/E8-1</f>
        <v>0.164163737707246</v>
      </c>
      <c r="G9" s="93"/>
    </row>
    <row r="10" customFormat="false" ht="15" hidden="false" customHeight="false" outlineLevel="0" collapsed="false">
      <c r="A10" s="98" t="s">
        <v>334</v>
      </c>
      <c r="B10" s="101" t="n">
        <f aca="false">B8/(B7*1000)*10000</f>
        <v>31.6103113491798</v>
      </c>
      <c r="C10" s="101" t="n">
        <f aca="false">C8/(C7*1000)*10000</f>
        <v>33.8411200730482</v>
      </c>
      <c r="D10" s="101" t="n">
        <f aca="false">D8/(D7*1000)*10000</f>
        <v>34.1701837985024</v>
      </c>
      <c r="E10" s="101" t="n">
        <f aca="false">E8/(E7*1000)*10000</f>
        <v>35.1955516681245</v>
      </c>
      <c r="F10" s="101" t="n">
        <f aca="false">F8/(F7*1000)*10000</f>
        <v>37.2667348562337</v>
      </c>
      <c r="G10" s="93" t="s">
        <v>335</v>
      </c>
    </row>
    <row r="12" customFormat="false" ht="15" hidden="false" customHeight="false" outlineLevel="0" collapsed="false">
      <c r="A12" s="94" t="s">
        <v>336</v>
      </c>
      <c r="B12" s="95"/>
      <c r="C12" s="95"/>
      <c r="D12" s="95"/>
      <c r="E12" s="95"/>
      <c r="F12" s="95"/>
      <c r="G12" s="95"/>
    </row>
    <row r="13" customFormat="false" ht="15" hidden="false" customHeight="false" outlineLevel="0" collapsed="false">
      <c r="A13" s="96" t="s">
        <v>86</v>
      </c>
      <c r="B13" s="97" t="n">
        <f aca="false">Data_MA!C15</f>
        <v>10082</v>
      </c>
      <c r="C13" s="97" t="n">
        <f aca="false">Data_MA!D15</f>
        <v>12264</v>
      </c>
      <c r="D13" s="97" t="n">
        <f aca="false">Data_MA!E15</f>
        <v>14008</v>
      </c>
      <c r="E13" s="97" t="n">
        <f aca="false">Data_MA!F15</f>
        <v>15582</v>
      </c>
      <c r="F13" s="97" t="n">
        <f aca="false">Data_MA!G15</f>
        <v>18897</v>
      </c>
      <c r="G13" s="93"/>
    </row>
    <row r="14" customFormat="false" ht="15" hidden="false" customHeight="false" outlineLevel="0" collapsed="false">
      <c r="A14" s="13" t="s">
        <v>337</v>
      </c>
      <c r="B14" s="100" t="n">
        <f aca="false">B13/B8</f>
        <v>0.533891124761703</v>
      </c>
      <c r="C14" s="100" t="n">
        <f aca="false">C13/C8</f>
        <v>0.551513243692944</v>
      </c>
      <c r="D14" s="100" t="n">
        <f aca="false">D13/D8</f>
        <v>0.558132122081441</v>
      </c>
      <c r="E14" s="100" t="n">
        <f aca="false">E13/E8</f>
        <v>0.5532005538396</v>
      </c>
      <c r="F14" s="100" t="n">
        <f aca="false">F13/F8</f>
        <v>0.576286176084901</v>
      </c>
      <c r="G14" s="93"/>
    </row>
    <row r="15" customFormat="false" ht="15" hidden="false" customHeight="false" outlineLevel="0" collapsed="false">
      <c r="A15" s="96" t="s">
        <v>338</v>
      </c>
      <c r="B15" s="97" t="n">
        <f aca="false">Data_MA!C14</f>
        <v>94</v>
      </c>
      <c r="C15" s="97" t="n">
        <f aca="false">Data_MA!D14</f>
        <v>356</v>
      </c>
      <c r="D15" s="97" t="n">
        <f aca="false">Data_MA!E14</f>
        <v>539</v>
      </c>
      <c r="E15" s="97" t="n">
        <f aca="false">Data_MA!F14</f>
        <v>680</v>
      </c>
      <c r="F15" s="97" t="n">
        <f aca="false">Data_MA!G14</f>
        <v>504</v>
      </c>
      <c r="G15" s="93"/>
    </row>
    <row r="16" customFormat="false" ht="15" hidden="false" customHeight="false" outlineLevel="0" collapsed="false">
      <c r="A16" s="98" t="s">
        <v>228</v>
      </c>
      <c r="B16" s="102" t="n">
        <f aca="false">B13+B15</f>
        <v>10176</v>
      </c>
      <c r="C16" s="102" t="n">
        <f aca="false">C13+C15</f>
        <v>12620</v>
      </c>
      <c r="D16" s="102" t="n">
        <f aca="false">D13+D15</f>
        <v>14547</v>
      </c>
      <c r="E16" s="102" t="n">
        <f aca="false">E13+E15</f>
        <v>16262</v>
      </c>
      <c r="F16" s="102" t="n">
        <f aca="false">F13+F15</f>
        <v>19401</v>
      </c>
      <c r="G16" s="93" t="s">
        <v>339</v>
      </c>
    </row>
    <row r="17" customFormat="false" ht="15" hidden="false" customHeight="false" outlineLevel="0" collapsed="false">
      <c r="A17" s="13" t="s">
        <v>340</v>
      </c>
      <c r="B17" s="100" t="n">
        <f aca="false">B16/B8</f>
        <v>0.538868883711078</v>
      </c>
      <c r="C17" s="100" t="n">
        <f aca="false">C16/C8</f>
        <v>0.567522597472681</v>
      </c>
      <c r="D17" s="100" t="n">
        <f aca="false">D16/D8</f>
        <v>0.579607936887401</v>
      </c>
      <c r="E17" s="100" t="n">
        <f aca="false">E16/E8</f>
        <v>0.577342279973018</v>
      </c>
      <c r="F17" s="100" t="n">
        <f aca="false">F16/F8</f>
        <v>0.591656247140984</v>
      </c>
      <c r="G17" s="93"/>
    </row>
    <row r="18" customFormat="false" ht="15" hidden="false" customHeight="false" outlineLevel="0" collapsed="false">
      <c r="A18" s="13" t="s">
        <v>341</v>
      </c>
      <c r="B18" s="103" t="n">
        <f aca="false">Data_MA!C16/Data_MA!C18</f>
        <v>0.157174735616571</v>
      </c>
      <c r="C18" s="103" t="n">
        <f aca="false">Data_MA!D16/Data_MA!D18</f>
        <v>0.153596999659052</v>
      </c>
      <c r="D18" s="103" t="n">
        <f aca="false">Data_MA!E16/Data_MA!E18</f>
        <v>0.179192022875577</v>
      </c>
      <c r="E18" s="103" t="n">
        <f aca="false">Data_MA!F16/Data_MA!F18</f>
        <v>0.156024649272322</v>
      </c>
      <c r="F18" s="103" t="n">
        <f aca="false">Data_MA!G16/Data_MA!G18</f>
        <v>0.19431585746582</v>
      </c>
      <c r="G18" s="93" t="s">
        <v>342</v>
      </c>
    </row>
    <row r="19" customFormat="false" ht="15" hidden="false" customHeight="false" outlineLevel="0" collapsed="false">
      <c r="A19" s="96" t="s">
        <v>107</v>
      </c>
      <c r="B19" s="97" t="n">
        <f aca="false">Data_MA!C17</f>
        <v>8687</v>
      </c>
      <c r="C19" s="97" t="n">
        <f aca="false">Data_MA!D17</f>
        <v>9930</v>
      </c>
      <c r="D19" s="97" t="n">
        <f aca="false">Data_MA!E17</f>
        <v>11195</v>
      </c>
      <c r="E19" s="97" t="n">
        <f aca="false">Data_MA!F17</f>
        <v>12874</v>
      </c>
      <c r="F19" s="97" t="n">
        <f aca="false">Data_MA!G17</f>
        <v>14968</v>
      </c>
      <c r="G19" s="93"/>
    </row>
    <row r="20" customFormat="false" ht="15" hidden="false" customHeight="false" outlineLevel="0" collapsed="false">
      <c r="A20" s="13" t="s">
        <v>343</v>
      </c>
      <c r="B20" s="100" t="n">
        <f aca="false">B19/B8</f>
        <v>0.460019063757679</v>
      </c>
      <c r="C20" s="100" t="n">
        <f aca="false">C19/C8</f>
        <v>0.446553042226919</v>
      </c>
      <c r="D20" s="100" t="n">
        <f aca="false">D19/D8</f>
        <v>0.446051478205435</v>
      </c>
      <c r="E20" s="100" t="n">
        <f aca="false">E19/E8</f>
        <v>0.457059679767103</v>
      </c>
      <c r="F20" s="100" t="n">
        <f aca="false">F19/F8</f>
        <v>0.456466713427465</v>
      </c>
      <c r="G20" s="93"/>
    </row>
    <row r="22" customFormat="false" ht="15" hidden="false" customHeight="false" outlineLevel="0" collapsed="false">
      <c r="A22" s="94" t="s">
        <v>344</v>
      </c>
      <c r="B22" s="95"/>
      <c r="C22" s="95"/>
      <c r="D22" s="95"/>
      <c r="E22" s="95"/>
      <c r="F22" s="95"/>
      <c r="G22" s="95"/>
    </row>
    <row r="23" customFormat="false" ht="15" hidden="false" customHeight="false" outlineLevel="0" collapsed="false">
      <c r="A23" s="98" t="s">
        <v>232</v>
      </c>
      <c r="B23" s="102" t="n">
        <f aca="false">B16*(1-B18)</f>
        <v>8576.58989036577</v>
      </c>
      <c r="C23" s="102" t="n">
        <f aca="false">C16*(1-C18)</f>
        <v>10681.6058643028</v>
      </c>
      <c r="D23" s="102" t="n">
        <f aca="false">D16*(1-D18)</f>
        <v>11940.293643229</v>
      </c>
      <c r="E23" s="102" t="n">
        <f aca="false">E16*(1-E18)</f>
        <v>13724.7271535335</v>
      </c>
      <c r="F23" s="102" t="n">
        <f aca="false">F16*(1-F18)</f>
        <v>15631.0780493056</v>
      </c>
      <c r="G23" s="93" t="s">
        <v>345</v>
      </c>
    </row>
    <row r="24" customFormat="false" ht="15" hidden="false" customHeight="false" outlineLevel="0" collapsed="false">
      <c r="A24" s="96" t="s">
        <v>346</v>
      </c>
      <c r="B24" s="97" t="n">
        <f aca="false">Data_MA!C26+Data_MA!C27</f>
        <v>13901</v>
      </c>
      <c r="C24" s="97" t="n">
        <f aca="false">Data_MA!D26+Data_MA!D27</f>
        <v>14023</v>
      </c>
      <c r="D24" s="97" t="n">
        <f aca="false">Data_MA!E26+Data_MA!E27</f>
        <v>15681</v>
      </c>
      <c r="E24" s="97" t="n">
        <f aca="false">Data_MA!F26+Data_MA!F27</f>
        <v>18226</v>
      </c>
      <c r="F24" s="97" t="n">
        <f aca="false">Data_MA!G26+Data_MA!G27</f>
        <v>19000</v>
      </c>
      <c r="G24" s="93"/>
    </row>
    <row r="25" customFormat="false" ht="15" hidden="false" customHeight="false" outlineLevel="0" collapsed="false">
      <c r="A25" s="96" t="s">
        <v>347</v>
      </c>
      <c r="B25" s="97" t="n">
        <f aca="false">Data_MA!C28</f>
        <v>7383</v>
      </c>
      <c r="C25" s="97" t="n">
        <f aca="false">Data_MA!D28</f>
        <v>6356</v>
      </c>
      <c r="D25" s="97" t="n">
        <f aca="false">Data_MA!E28</f>
        <v>6975</v>
      </c>
      <c r="E25" s="97" t="n">
        <f aca="false">Data_MA!F28</f>
        <v>6515</v>
      </c>
      <c r="F25" s="97" t="n">
        <f aca="false">Data_MA!G28</f>
        <v>7746</v>
      </c>
      <c r="G25" s="93"/>
    </row>
    <row r="26" customFormat="false" ht="15" hidden="false" customHeight="false" outlineLevel="0" collapsed="false">
      <c r="A26" s="96" t="s">
        <v>348</v>
      </c>
      <c r="B26" s="97" t="n">
        <f aca="false">Data_MA!C21+Data_MA!C23</f>
        <v>7894</v>
      </c>
      <c r="C26" s="97" t="n">
        <f aca="false">Data_MA!D21+Data_MA!D23</f>
        <v>7408</v>
      </c>
      <c r="D26" s="97" t="n">
        <f aca="false">Data_MA!E21+Data_MA!E23</f>
        <v>9180</v>
      </c>
      <c r="E26" s="97" t="n">
        <f aca="false">Data_MA!F21+Data_MA!F23</f>
        <v>8772</v>
      </c>
      <c r="F26" s="97" t="n">
        <f aca="false">Data_MA!G21+Data_MA!G23</f>
        <v>10898</v>
      </c>
      <c r="G26" s="93" t="s">
        <v>349</v>
      </c>
    </row>
    <row r="27" customFormat="false" ht="15" hidden="false" customHeight="false" outlineLevel="0" collapsed="false">
      <c r="A27" s="98" t="s">
        <v>142</v>
      </c>
      <c r="B27" s="102" t="n">
        <f aca="false">B24+B25-B26</f>
        <v>13390</v>
      </c>
      <c r="C27" s="102" t="n">
        <f aca="false">C24+C25-C26</f>
        <v>12971</v>
      </c>
      <c r="D27" s="102" t="n">
        <f aca="false">D24+D25-D26</f>
        <v>13476</v>
      </c>
      <c r="E27" s="102" t="n">
        <f aca="false">E24+E25-E26</f>
        <v>15969</v>
      </c>
      <c r="F27" s="102" t="n">
        <f aca="false">F24+F25-F26</f>
        <v>15848</v>
      </c>
      <c r="G27" s="93" t="s">
        <v>350</v>
      </c>
    </row>
    <row r="28" customFormat="false" ht="15" hidden="false" customHeight="false" outlineLevel="0" collapsed="false">
      <c r="A28" s="13" t="s">
        <v>144</v>
      </c>
      <c r="C28" s="104" t="n">
        <f aca="false">AVERAGE(B27,C27)</f>
        <v>13180.5</v>
      </c>
      <c r="D28" s="104" t="n">
        <f aca="false">AVERAGE(C27,D27)</f>
        <v>13223.5</v>
      </c>
      <c r="E28" s="104" t="n">
        <f aca="false">AVERAGE(D27,E27)</f>
        <v>14722.5</v>
      </c>
      <c r="F28" s="104" t="n">
        <f aca="false">AVERAGE(E27,F27)</f>
        <v>15908.5</v>
      </c>
      <c r="G28" s="93"/>
    </row>
    <row r="29" customFormat="false" ht="15" hidden="false" customHeight="false" outlineLevel="0" collapsed="false">
      <c r="A29" s="98" t="s">
        <v>351</v>
      </c>
      <c r="C29" s="105" t="n">
        <f aca="false">C23/C28</f>
        <v>0.810409761716381</v>
      </c>
      <c r="D29" s="105" t="n">
        <f aca="false">D23/D28</f>
        <v>0.902960157539908</v>
      </c>
      <c r="E29" s="105" t="n">
        <f aca="false">E23/E28</f>
        <v>0.93222802876777</v>
      </c>
      <c r="F29" s="105" t="n">
        <f aca="false">F23/F28</f>
        <v>0.982561401094109</v>
      </c>
      <c r="G29" s="93"/>
    </row>
    <row r="30" customFormat="false" ht="15" hidden="false" customHeight="false" outlineLevel="0" collapsed="false">
      <c r="A30" s="96" t="s">
        <v>148</v>
      </c>
      <c r="B30" s="97" t="n">
        <f aca="false">Data_MA!C24</f>
        <v>7662</v>
      </c>
      <c r="C30" s="97" t="n">
        <f aca="false">Data_MA!D24</f>
        <v>7522</v>
      </c>
      <c r="D30" s="97" t="n">
        <f aca="false">Data_MA!E24</f>
        <v>7660</v>
      </c>
      <c r="E30" s="97" t="n">
        <f aca="false">Data_MA!F24</f>
        <v>9193</v>
      </c>
      <c r="F30" s="97" t="n">
        <f aca="false">Data_MA!G24</f>
        <v>9560</v>
      </c>
      <c r="G30" s="93"/>
    </row>
    <row r="31" customFormat="false" ht="15" hidden="false" customHeight="false" outlineLevel="0" collapsed="false">
      <c r="A31" s="96" t="s">
        <v>352</v>
      </c>
      <c r="B31" s="97" t="n">
        <f aca="false">Data_MA!C25</f>
        <v>3671</v>
      </c>
      <c r="C31" s="97" t="n">
        <f aca="false">Data_MA!D25</f>
        <v>3859</v>
      </c>
      <c r="D31" s="97" t="n">
        <f aca="false">Data_MA!E25</f>
        <v>4086</v>
      </c>
      <c r="E31" s="97" t="n">
        <f aca="false">Data_MA!F25</f>
        <v>5453</v>
      </c>
      <c r="F31" s="97" t="n">
        <f aca="false">Data_MA!G25</f>
        <v>5554</v>
      </c>
      <c r="G31" s="93"/>
    </row>
    <row r="32" customFormat="false" ht="15" hidden="false" customHeight="false" outlineLevel="0" collapsed="false">
      <c r="A32" s="96" t="s">
        <v>152</v>
      </c>
      <c r="B32" s="104" t="n">
        <f aca="false">B27-B30</f>
        <v>5728</v>
      </c>
      <c r="C32" s="104" t="n">
        <f aca="false">C27-C30</f>
        <v>5449</v>
      </c>
      <c r="D32" s="104" t="n">
        <f aca="false">D27-D30</f>
        <v>5816</v>
      </c>
      <c r="E32" s="104" t="n">
        <f aca="false">E27-E30</f>
        <v>6776</v>
      </c>
      <c r="F32" s="104" t="n">
        <f aca="false">F27-F30</f>
        <v>6288</v>
      </c>
      <c r="G32" s="93"/>
    </row>
    <row r="33" customFormat="false" ht="15" hidden="false" customHeight="false" outlineLevel="0" collapsed="false">
      <c r="A33" s="98" t="s">
        <v>353</v>
      </c>
      <c r="C33" s="106" t="n">
        <f aca="false">C23/AVERAGE(B32,C32)</f>
        <v>1.91135472207261</v>
      </c>
      <c r="D33" s="106" t="n">
        <f aca="false">D23/AVERAGE(C32,D32)</f>
        <v>2.11989234677834</v>
      </c>
      <c r="E33" s="106" t="n">
        <f aca="false">E23/AVERAGE(D32,E32)</f>
        <v>2.17991219084077</v>
      </c>
      <c r="F33" s="106" t="n">
        <f aca="false">F23/AVERAGE(E32,F32)</f>
        <v>2.39300031373326</v>
      </c>
      <c r="G33" s="93"/>
    </row>
    <row r="34" customFormat="false" ht="15" hidden="false" customHeight="false" outlineLevel="0" collapsed="false">
      <c r="A34" s="96" t="s">
        <v>354</v>
      </c>
      <c r="B34" s="104" t="n">
        <f aca="false">B32-B31</f>
        <v>2057</v>
      </c>
      <c r="C34" s="104" t="n">
        <f aca="false">C32-C31</f>
        <v>1590</v>
      </c>
      <c r="D34" s="104" t="n">
        <f aca="false">D32-D31</f>
        <v>1730</v>
      </c>
      <c r="E34" s="104" t="n">
        <f aca="false">E32-E31</f>
        <v>1323</v>
      </c>
      <c r="F34" s="104" t="n">
        <f aca="false">F32-F31</f>
        <v>734</v>
      </c>
      <c r="G34" s="93" t="s">
        <v>355</v>
      </c>
    </row>
    <row r="36" customFormat="false" ht="15" hidden="false" customHeight="false" outlineLevel="0" collapsed="false">
      <c r="A36" s="94" t="s">
        <v>356</v>
      </c>
      <c r="B36" s="95"/>
      <c r="C36" s="95"/>
      <c r="D36" s="95"/>
      <c r="E36" s="95"/>
      <c r="F36" s="95"/>
      <c r="G36" s="95"/>
    </row>
    <row r="37" customFormat="false" ht="15" hidden="false" customHeight="false" outlineLevel="0" collapsed="false">
      <c r="A37" s="96" t="s">
        <v>357</v>
      </c>
      <c r="B37" s="97" t="n">
        <f aca="false">Data_MA!C32+Data_MA!C33</f>
        <v>814</v>
      </c>
      <c r="C37" s="97" t="n">
        <f aca="false">Data_MA!D32+Data_MA!D33</f>
        <v>1097</v>
      </c>
      <c r="D37" s="97" t="n">
        <f aca="false">Data_MA!E32+Data_MA!E33</f>
        <v>1088</v>
      </c>
      <c r="E37" s="97" t="n">
        <f aca="false">Data_MA!F32+Data_MA!F33</f>
        <v>1194</v>
      </c>
      <c r="F37" s="97" t="n">
        <f aca="false">Data_MA!G32+Data_MA!G33</f>
        <v>1215</v>
      </c>
      <c r="G37" s="93" t="s">
        <v>358</v>
      </c>
    </row>
    <row r="38" customFormat="false" ht="15" hidden="false" customHeight="false" outlineLevel="0" collapsed="false">
      <c r="A38" s="98" t="s">
        <v>359</v>
      </c>
      <c r="B38" s="102" t="n">
        <f aca="false">Data_MA!C31-B37</f>
        <v>8649</v>
      </c>
      <c r="C38" s="102" t="n">
        <f aca="false">Data_MA!D31-C37</f>
        <v>10098</v>
      </c>
      <c r="D38" s="102" t="n">
        <f aca="false">Data_MA!E31-D37</f>
        <v>10892</v>
      </c>
      <c r="E38" s="102" t="n">
        <f aca="false">Data_MA!F31-E37</f>
        <v>13586</v>
      </c>
      <c r="F38" s="102" t="n">
        <f aca="false">Data_MA!G31-F37</f>
        <v>16433</v>
      </c>
      <c r="G38" s="93" t="s">
        <v>360</v>
      </c>
    </row>
    <row r="39" customFormat="false" ht="15" hidden="false" customHeight="false" outlineLevel="0" collapsed="false">
      <c r="A39" s="13" t="s">
        <v>361</v>
      </c>
      <c r="B39" s="100" t="n">
        <f aca="false">B38/B19</f>
        <v>0.995625647519282</v>
      </c>
      <c r="C39" s="100" t="n">
        <f aca="false">C38/C19</f>
        <v>1.01691842900302</v>
      </c>
      <c r="D39" s="100" t="n">
        <f aca="false">D38/D19</f>
        <v>0.97293434569004</v>
      </c>
      <c r="E39" s="100" t="n">
        <f aca="false">E38/E19</f>
        <v>1.05530526642846</v>
      </c>
      <c r="F39" s="100" t="n">
        <f aca="false">F38/F19</f>
        <v>1.09787546766435</v>
      </c>
      <c r="G39" s="93"/>
    </row>
    <row r="40" customFormat="false" ht="15" hidden="false" customHeight="false" outlineLevel="0" collapsed="false">
      <c r="A40" s="13" t="s">
        <v>362</v>
      </c>
      <c r="B40" s="100" t="n">
        <f aca="false">B37/B8</f>
        <v>0.043105274306291</v>
      </c>
      <c r="C40" s="100" t="n">
        <f aca="false">C37/C8</f>
        <v>0.0493321940909295</v>
      </c>
      <c r="D40" s="100" t="n">
        <f aca="false">D37/D8</f>
        <v>0.0433500677344808</v>
      </c>
      <c r="E40" s="100" t="n">
        <f aca="false">E37/E8</f>
        <v>0.0423900308872084</v>
      </c>
      <c r="F40" s="100" t="n">
        <f aca="false">F37/F8</f>
        <v>0.0370528498673417</v>
      </c>
      <c r="G40" s="93"/>
    </row>
    <row r="41" customFormat="false" ht="15" hidden="false" customHeight="false" outlineLevel="0" collapsed="false">
      <c r="A41" s="96" t="s">
        <v>363</v>
      </c>
      <c r="B41" s="97" t="n">
        <f aca="false">Data_MA!C36+Data_MA!C35</f>
        <v>7645</v>
      </c>
      <c r="C41" s="97" t="n">
        <f aca="false">Data_MA!D36+Data_MA!D35</f>
        <v>10656</v>
      </c>
      <c r="D41" s="97" t="n">
        <f aca="false">Data_MA!E36+Data_MA!E35</f>
        <v>11190</v>
      </c>
      <c r="E41" s="97" t="n">
        <f aca="false">Data_MA!F36+Data_MA!F35</f>
        <v>13402</v>
      </c>
      <c r="F41" s="97" t="n">
        <f aca="false">Data_MA!G36+Data_MA!G35</f>
        <v>14483</v>
      </c>
      <c r="G41" s="93"/>
    </row>
    <row r="42" customFormat="false" ht="15" hidden="false" customHeight="false" outlineLevel="0" collapsed="false">
      <c r="A42" s="13" t="s">
        <v>288</v>
      </c>
      <c r="B42" s="100" t="n">
        <f aca="false">B41/B38</f>
        <v>0.883917215863106</v>
      </c>
      <c r="C42" s="100" t="n">
        <f aca="false">C41/C38</f>
        <v>1.05525846702317</v>
      </c>
      <c r="D42" s="100" t="n">
        <f aca="false">D41/D38</f>
        <v>1.02735952993022</v>
      </c>
      <c r="E42" s="100" t="n">
        <f aca="false">E41/E38</f>
        <v>0.986456646547917</v>
      </c>
      <c r="F42" s="100" t="n">
        <f aca="false">F41/F38</f>
        <v>0.881336335422625</v>
      </c>
      <c r="G42" s="93"/>
    </row>
    <row r="43" customFormat="false" ht="15" hidden="false" customHeight="false" outlineLevel="0" collapsed="false">
      <c r="A43" s="13" t="s">
        <v>302</v>
      </c>
      <c r="B43" s="100" t="n">
        <f aca="false">Data_MA!C36/B19</f>
        <v>0.200414412340279</v>
      </c>
      <c r="C43" s="100" t="n">
        <f aca="false">Data_MA!D36/C19</f>
        <v>0.191641490433031</v>
      </c>
      <c r="D43" s="100" t="n">
        <f aca="false">Data_MA!E36/D19</f>
        <v>0.192764627065654</v>
      </c>
      <c r="E43" s="100" t="n">
        <f aca="false">Data_MA!F36/E19</f>
        <v>0.19015069131583</v>
      </c>
      <c r="F43" s="100" t="n">
        <f aca="false">Data_MA!G36/F19</f>
        <v>0.18412613575628</v>
      </c>
      <c r="G43" s="93"/>
    </row>
    <row r="44" customFormat="false" ht="15" hidden="false" customHeight="false" outlineLevel="0" collapsed="false">
      <c r="A44" s="96" t="s">
        <v>364</v>
      </c>
      <c r="B44" s="97" t="n">
        <f aca="false">Data_MA!C34</f>
        <v>4436</v>
      </c>
      <c r="C44" s="97" t="n">
        <f aca="false">Data_MA!D34</f>
        <v>313</v>
      </c>
      <c r="D44" s="97" t="n">
        <f aca="false">Data_MA!E34</f>
        <v>0</v>
      </c>
      <c r="E44" s="97" t="n">
        <f aca="false">Data_MA!F34</f>
        <v>2511</v>
      </c>
      <c r="F44" s="97" t="n">
        <f aca="false">Data_MA!G34</f>
        <v>0</v>
      </c>
      <c r="G44" s="93" t="s">
        <v>365</v>
      </c>
    </row>
    <row r="46" customFormat="false" ht="15" hidden="false" customHeight="false" outlineLevel="0" collapsed="false">
      <c r="A46" s="94" t="s">
        <v>366</v>
      </c>
      <c r="B46" s="95"/>
      <c r="C46" s="95"/>
      <c r="D46" s="95"/>
      <c r="E46" s="95"/>
      <c r="F46" s="95"/>
      <c r="G46" s="95"/>
    </row>
    <row r="47" customFormat="false" ht="15" hidden="false" customHeight="false" outlineLevel="0" collapsed="false">
      <c r="A47" s="96" t="s">
        <v>367</v>
      </c>
      <c r="B47" s="103" t="n">
        <f aca="false">Tab3_ROIC_WACC!B6</f>
        <v>0.0519</v>
      </c>
      <c r="G47" s="93" t="s">
        <v>368</v>
      </c>
    </row>
    <row r="48" customFormat="false" ht="15" hidden="false" customHeight="false" outlineLevel="0" collapsed="false">
      <c r="A48" s="96" t="s">
        <v>189</v>
      </c>
      <c r="B48" s="103" t="n">
        <f aca="false">Tab3_ROIC_WACC!B10</f>
        <v>0.055</v>
      </c>
      <c r="G48" s="93" t="s">
        <v>368</v>
      </c>
    </row>
    <row r="49" customFormat="false" ht="15" hidden="false" customHeight="false" outlineLevel="0" collapsed="false">
      <c r="A49" s="96" t="s">
        <v>369</v>
      </c>
      <c r="B49" s="107" t="n">
        <f aca="false">Data_MA!G41</f>
        <v>0.76</v>
      </c>
      <c r="G49" s="93" t="s">
        <v>370</v>
      </c>
    </row>
    <row r="50" customFormat="false" ht="15" hidden="false" customHeight="false" outlineLevel="0" collapsed="false">
      <c r="A50" s="96" t="s">
        <v>371</v>
      </c>
      <c r="B50" s="108" t="n">
        <f aca="false">Tab3_ROIC_WACC!B8*B49+(1-Tab3_ROIC_WACC!B8)</f>
        <v>0.8392</v>
      </c>
      <c r="G50" s="93" t="s">
        <v>372</v>
      </c>
    </row>
    <row r="51" customFormat="false" ht="15" hidden="false" customHeight="false" outlineLevel="0" collapsed="false">
      <c r="A51" s="98" t="s">
        <v>373</v>
      </c>
      <c r="B51" s="106" t="n">
        <f aca="false">B47+B50*B48</f>
        <v>0.098056</v>
      </c>
      <c r="G51" s="93" t="s">
        <v>374</v>
      </c>
    </row>
    <row r="52" customFormat="false" ht="15" hidden="false" customHeight="false" outlineLevel="0" collapsed="false">
      <c r="A52" s="96" t="s">
        <v>375</v>
      </c>
      <c r="B52" s="100" t="n">
        <f aca="false">Tab3_ROIC_WACC!B14*(1-F18)</f>
        <v>0.0436680805253526</v>
      </c>
      <c r="G52" s="93" t="s">
        <v>376</v>
      </c>
    </row>
    <row r="53" customFormat="false" ht="15" hidden="false" customHeight="false" outlineLevel="0" collapsed="false">
      <c r="A53" s="96" t="s">
        <v>209</v>
      </c>
      <c r="B53" s="97" t="n">
        <f aca="false">Data_MA!G40*Data_MA!G39</f>
        <v>528438.24</v>
      </c>
      <c r="G53" s="93" t="s">
        <v>377</v>
      </c>
    </row>
    <row r="54" customFormat="false" ht="15" hidden="false" customHeight="false" outlineLevel="0" collapsed="false">
      <c r="A54" s="96" t="s">
        <v>211</v>
      </c>
      <c r="B54" s="97" t="n">
        <f aca="false">Data_MA!G42</f>
        <v>24643</v>
      </c>
      <c r="G54" s="93" t="s">
        <v>378</v>
      </c>
    </row>
    <row r="55" customFormat="false" ht="15" hidden="false" customHeight="false" outlineLevel="0" collapsed="false">
      <c r="A55" s="96" t="s">
        <v>215</v>
      </c>
      <c r="B55" s="100" t="n">
        <f aca="false">B53/(B53+B54)</f>
        <v>0.955444158619446</v>
      </c>
      <c r="G55" s="93"/>
    </row>
    <row r="56" customFormat="false" ht="15" hidden="false" customHeight="false" outlineLevel="0" collapsed="false">
      <c r="A56" s="98" t="s">
        <v>379</v>
      </c>
      <c r="B56" s="105" t="n">
        <f aca="false">B55*B51+(1-B55)*B52</f>
        <v>0.0956327004868693</v>
      </c>
      <c r="G56" s="93" t="s">
        <v>380</v>
      </c>
    </row>
    <row r="58" customFormat="false" ht="15" hidden="false" customHeight="false" outlineLevel="0" collapsed="false">
      <c r="A58" s="75" t="s">
        <v>381</v>
      </c>
      <c r="B58" s="76" t="s">
        <v>382</v>
      </c>
      <c r="C58" s="76" t="s">
        <v>383</v>
      </c>
      <c r="D58" s="76" t="s">
        <v>384</v>
      </c>
      <c r="E58" s="76"/>
      <c r="F58" s="76"/>
      <c r="G58" s="75" t="s">
        <v>385</v>
      </c>
    </row>
    <row r="59" customFormat="false" ht="15" hidden="false" customHeight="false" outlineLevel="0" collapsed="false">
      <c r="A59" s="96" t="s">
        <v>386</v>
      </c>
      <c r="B59" s="97" t="n">
        <f aca="false">Tab2_Core_Returns!F11</f>
        <v>40000</v>
      </c>
      <c r="C59" s="104" t="n">
        <f aca="false">F8</f>
        <v>32791</v>
      </c>
      <c r="D59" s="109" t="n">
        <f aca="false">B59-C59</f>
        <v>7209</v>
      </c>
      <c r="G59" s="93" t="s">
        <v>387</v>
      </c>
    </row>
    <row r="60" customFormat="false" ht="15" hidden="false" customHeight="false" outlineLevel="0" collapsed="false">
      <c r="A60" s="96" t="s">
        <v>388</v>
      </c>
      <c r="B60" s="103" t="n">
        <f aca="false">(Tab2_Core_Returns!F11/Tab2_Core_Returns!B11)^(1/4)-1</f>
        <v>0.134980013541844</v>
      </c>
      <c r="C60" s="100" t="n">
        <f aca="false">(F8/B8)^(1/4)-1</f>
        <v>0.147929369527212</v>
      </c>
      <c r="D60" s="110" t="n">
        <f aca="false">(B60-C60)*100</f>
        <v>-1.2949355985368</v>
      </c>
      <c r="G60" s="93" t="s">
        <v>389</v>
      </c>
    </row>
    <row r="61" customFormat="false" ht="15" hidden="false" customHeight="false" outlineLevel="0" collapsed="false">
      <c r="A61" s="96" t="s">
        <v>390</v>
      </c>
      <c r="B61" s="97" t="n">
        <f aca="false">Tab1_Drivers!F7</f>
        <v>14200</v>
      </c>
      <c r="C61" s="104" t="n">
        <f aca="false">F7</f>
        <v>8799</v>
      </c>
      <c r="D61" s="109" t="n">
        <f aca="false">B61-C61</f>
        <v>5401</v>
      </c>
      <c r="G61" s="93" t="s">
        <v>391</v>
      </c>
    </row>
    <row r="62" customFormat="false" ht="15" hidden="false" customHeight="false" outlineLevel="0" collapsed="false">
      <c r="A62" s="96" t="s">
        <v>392</v>
      </c>
      <c r="B62" s="111" t="n">
        <f aca="false">Tab1_Drivers!F36</f>
        <v>28.169014084507</v>
      </c>
      <c r="C62" s="112" t="n">
        <f aca="false">F10</f>
        <v>37.2667348562337</v>
      </c>
      <c r="D62" s="113" t="n">
        <f aca="false">B62-C62</f>
        <v>-9.09772077172662</v>
      </c>
      <c r="G62" s="93" t="s">
        <v>393</v>
      </c>
    </row>
    <row r="63" customFormat="false" ht="15" hidden="false" customHeight="false" outlineLevel="0" collapsed="false">
      <c r="A63" s="96" t="s">
        <v>337</v>
      </c>
      <c r="B63" s="103" t="n">
        <f aca="false">Tab2_Core_Returns!F17</f>
        <v>0.59985</v>
      </c>
      <c r="C63" s="100" t="n">
        <f aca="false">F14</f>
        <v>0.576286176084901</v>
      </c>
      <c r="D63" s="110" t="n">
        <f aca="false">(B63-C63)*100</f>
        <v>2.35638239150987</v>
      </c>
      <c r="G63" s="93"/>
    </row>
    <row r="64" customFormat="false" ht="15" hidden="false" customHeight="false" outlineLevel="0" collapsed="false">
      <c r="A64" s="96" t="s">
        <v>340</v>
      </c>
      <c r="B64" s="103" t="n">
        <f aca="false">Tab2_Core_Returns!F20</f>
        <v>0.6639</v>
      </c>
      <c r="C64" s="100" t="n">
        <f aca="false">F17</f>
        <v>0.591656247140984</v>
      </c>
      <c r="D64" s="110" t="n">
        <f aca="false">(B64-C64)*100</f>
        <v>7.22437528590162</v>
      </c>
      <c r="G64" s="93" t="s">
        <v>394</v>
      </c>
    </row>
    <row r="65" customFormat="false" ht="15" hidden="false" customHeight="false" outlineLevel="0" collapsed="false">
      <c r="A65" s="96" t="s">
        <v>343</v>
      </c>
      <c r="B65" s="103" t="n">
        <f aca="false">Tab2_Core_Returns!F29</f>
        <v>0.50145</v>
      </c>
      <c r="C65" s="100" t="n">
        <f aca="false">F20</f>
        <v>0.456466713427465</v>
      </c>
      <c r="D65" s="110" t="n">
        <f aca="false">(B65-C65)*100</f>
        <v>4.49832865725351</v>
      </c>
      <c r="G65" s="93"/>
    </row>
    <row r="66" customFormat="false" ht="15" hidden="false" customHeight="false" outlineLevel="0" collapsed="false">
      <c r="A66" s="96" t="s">
        <v>395</v>
      </c>
      <c r="B66" s="97" t="n">
        <f aca="false">Tab2_Core_Returns!F51</f>
        <v>43084</v>
      </c>
      <c r="C66" s="104" t="n">
        <f aca="false">F27</f>
        <v>15848</v>
      </c>
      <c r="D66" s="109" t="n">
        <f aca="false">B66-C66</f>
        <v>27236</v>
      </c>
      <c r="G66" s="93" t="s">
        <v>396</v>
      </c>
    </row>
    <row r="67" customFormat="false" ht="15" hidden="false" customHeight="false" outlineLevel="0" collapsed="false">
      <c r="A67" s="96" t="s">
        <v>397</v>
      </c>
      <c r="B67" s="97" t="n">
        <f aca="false">Tab2_Core_Returns!F54+Tab2_Core_Returns!F55</f>
        <v>47525</v>
      </c>
      <c r="C67" s="104" t="n">
        <f aca="false">F30+F31</f>
        <v>15114</v>
      </c>
      <c r="D67" s="109" t="n">
        <f aca="false">B67-C67</f>
        <v>32411</v>
      </c>
      <c r="G67" s="93" t="s">
        <v>398</v>
      </c>
    </row>
    <row r="68" customFormat="false" ht="15" hidden="false" customHeight="false" outlineLevel="0" collapsed="false">
      <c r="A68" s="96" t="s">
        <v>399</v>
      </c>
      <c r="B68" s="103" t="n">
        <f aca="false">Tab3_ROIC_WACC!F39</f>
        <v>0.515982812020527</v>
      </c>
      <c r="C68" s="100" t="n">
        <f aca="false">F29</f>
        <v>0.982561401094109</v>
      </c>
      <c r="D68" s="110" t="n">
        <f aca="false">(B68-C68)*100</f>
        <v>-46.6578589073582</v>
      </c>
      <c r="G68" s="93" t="s">
        <v>400</v>
      </c>
    </row>
    <row r="69" customFormat="false" ht="15" hidden="false" customHeight="false" outlineLevel="0" collapsed="false">
      <c r="A69" s="96" t="s">
        <v>401</v>
      </c>
      <c r="B69" s="103" t="n">
        <f aca="false">Tab3_ROIC_WACC!F44</f>
        <v>0.946587811539775</v>
      </c>
      <c r="C69" s="100" t="n">
        <f aca="false">F33</f>
        <v>2.39300031373326</v>
      </c>
      <c r="D69" s="110" t="n">
        <f aca="false">(B69-C69)*100</f>
        <v>-144.641250219348</v>
      </c>
      <c r="G69" s="93" t="s">
        <v>402</v>
      </c>
    </row>
    <row r="70" customFormat="false" ht="15" hidden="false" customHeight="false" outlineLevel="0" collapsed="false">
      <c r="A70" s="96" t="s">
        <v>403</v>
      </c>
      <c r="B70" s="97" t="n">
        <f aca="false">Tab2_Core_Returns!F57</f>
        <v>-4441</v>
      </c>
      <c r="C70" s="104" t="n">
        <f aca="false">F34</f>
        <v>734</v>
      </c>
      <c r="D70" s="109" t="n">
        <f aca="false">B70-C70</f>
        <v>-5175</v>
      </c>
      <c r="G70" s="93" t="s">
        <v>404</v>
      </c>
    </row>
    <row r="71" customFormat="false" ht="15" hidden="false" customHeight="false" outlineLevel="0" collapsed="false">
      <c r="A71" s="96" t="s">
        <v>219</v>
      </c>
      <c r="B71" s="103" t="n">
        <f aca="false">Tab3_ROIC_WACC!B26</f>
        <v>0.0967447735945994</v>
      </c>
      <c r="C71" s="100" t="n">
        <f aca="false">B56</f>
        <v>0.0956327004868693</v>
      </c>
      <c r="D71" s="110" t="n">
        <f aca="false">(B71-C71)*100</f>
        <v>0.111207310773011</v>
      </c>
      <c r="G71" s="93" t="s">
        <v>405</v>
      </c>
    </row>
    <row r="72" customFormat="false" ht="15" hidden="false" customHeight="false" outlineLevel="0" collapsed="false">
      <c r="A72" s="96" t="s">
        <v>406</v>
      </c>
      <c r="B72" s="103" t="n">
        <f aca="false">Tab3_ROIC_WACC!F48</f>
        <v>0.419238038425928</v>
      </c>
      <c r="C72" s="100" t="n">
        <f aca="false">F29-B56</f>
        <v>0.88692870060724</v>
      </c>
      <c r="D72" s="110" t="n">
        <f aca="false">(B72-C72)*100</f>
        <v>-46.7690662181312</v>
      </c>
      <c r="G72" s="93" t="s">
        <v>407</v>
      </c>
    </row>
    <row r="73" customFormat="false" ht="15" hidden="false" customHeight="false" outlineLevel="0" collapsed="false">
      <c r="A73" s="96" t="s">
        <v>258</v>
      </c>
      <c r="B73" s="97" t="n">
        <f aca="false">Tab3_ROIC_WACC!F50</f>
        <v>17888.2582425767</v>
      </c>
      <c r="C73" s="104" t="n">
        <f aca="false">F23-B56*F28</f>
        <v>14109.7052336103</v>
      </c>
      <c r="D73" s="109" t="n">
        <f aca="false">B73-C73</f>
        <v>3778.55300896643</v>
      </c>
      <c r="G73" s="93" t="s">
        <v>408</v>
      </c>
    </row>
    <row r="74" customFormat="false" ht="15" hidden="false" customHeight="false" outlineLevel="0" collapsed="false">
      <c r="A74" s="96" t="s">
        <v>409</v>
      </c>
      <c r="B74" s="103" t="n">
        <f aca="false">Tab2_Core_Returns!F64</f>
        <v>1.07573038189251</v>
      </c>
      <c r="C74" s="100" t="n">
        <f aca="false">F39</f>
        <v>1.09787546766435</v>
      </c>
      <c r="D74" s="110" t="n">
        <f aca="false">(B74-C74)*100</f>
        <v>-2.21450857718388</v>
      </c>
      <c r="G74" s="93"/>
    </row>
    <row r="75" customFormat="false" ht="15" hidden="false" customHeight="false" outlineLevel="0" collapsed="false">
      <c r="A75" s="96" t="s">
        <v>410</v>
      </c>
      <c r="B75" s="103" t="n">
        <f aca="false">Tab2_Core_Returns!F65</f>
        <v>0.03705</v>
      </c>
      <c r="C75" s="100" t="n">
        <f aca="false">F40</f>
        <v>0.0370528498673417</v>
      </c>
      <c r="D75" s="110" t="n">
        <f aca="false">(B75-C75)*100</f>
        <v>-0.00028498673416491</v>
      </c>
      <c r="G75" s="93" t="s">
        <v>411</v>
      </c>
    </row>
    <row r="76" customFormat="false" ht="15" hidden="false" customHeight="false" outlineLevel="0" collapsed="false">
      <c r="A76" s="96" t="s">
        <v>412</v>
      </c>
      <c r="B76" s="103" t="n">
        <f aca="false">Tab4_Capital_Allocation!F16</f>
        <v>0.931046802429439</v>
      </c>
      <c r="C76" s="100" t="n">
        <f aca="false">SUM(B41:F41)/SUM(B38:F38)</f>
        <v>0.961748633879781</v>
      </c>
      <c r="D76" s="110" t="n">
        <f aca="false">(B76-C76)*100</f>
        <v>-3.07018314503423</v>
      </c>
      <c r="G76" s="93" t="s">
        <v>413</v>
      </c>
    </row>
    <row r="77" customFormat="false" ht="15" hidden="false" customHeight="false" outlineLevel="0" collapsed="false">
      <c r="A77" s="96" t="s">
        <v>302</v>
      </c>
      <c r="B77" s="103" t="n">
        <f aca="false">Tab4_Capital_Allocation!F25</f>
        <v>0.231030012962409</v>
      </c>
      <c r="C77" s="100" t="n">
        <f aca="false">F43</f>
        <v>0.18412613575628</v>
      </c>
      <c r="D77" s="110" t="n">
        <f aca="false">(B77-C77)*100</f>
        <v>4.6903877206129</v>
      </c>
      <c r="G77" s="93" t="s">
        <v>414</v>
      </c>
    </row>
    <row r="78" customFormat="false" ht="15" hidden="false" customHeight="false" outlineLevel="0" collapsed="false">
      <c r="A78" s="96" t="s">
        <v>415</v>
      </c>
      <c r="B78" s="97" t="n">
        <f aca="false">Tab3_ROIC_WACC!B21</f>
        <v>735888.4</v>
      </c>
      <c r="C78" s="104" t="n">
        <f aca="false">B53</f>
        <v>528438.24</v>
      </c>
      <c r="D78" s="109" t="n">
        <f aca="false">B78-C78</f>
        <v>207450.16</v>
      </c>
      <c r="G78" s="93" t="s">
        <v>416</v>
      </c>
    </row>
    <row r="79" customFormat="false" ht="15" hidden="false" customHeight="false" outlineLevel="0" collapsed="false">
      <c r="A79" s="96" t="s">
        <v>417</v>
      </c>
      <c r="B79" s="114" t="n">
        <f aca="false">Tab3_ROIC_WACC!B21/Tab2_Core_Returns!F28</f>
        <v>36.688024728288</v>
      </c>
      <c r="C79" s="115" t="n">
        <f aca="false">B53/F19</f>
        <v>35.3045323356494</v>
      </c>
      <c r="D79" s="116" t="n">
        <f aca="false">B79-C79</f>
        <v>1.38349239263858</v>
      </c>
      <c r="G79" s="93" t="s">
        <v>418</v>
      </c>
    </row>
    <row r="81" customFormat="false" ht="15" hidden="false" customHeight="false" outlineLevel="0" collapsed="false">
      <c r="A81" s="98" t="s">
        <v>64</v>
      </c>
    </row>
    <row r="82" customFormat="false" ht="15" hidden="false" customHeight="false" outlineLevel="0" collapsed="false">
      <c r="A82" s="93" t="s">
        <v>419</v>
      </c>
    </row>
    <row r="83" customFormat="false" ht="15" hidden="false" customHeight="false" outlineLevel="0" collapsed="false">
      <c r="A83" s="93" t="s">
        <v>420</v>
      </c>
    </row>
    <row r="84" customFormat="false" ht="15" hidden="false" customHeight="false" outlineLevel="0" collapsed="false">
      <c r="A84" s="93" t="s">
        <v>421</v>
      </c>
    </row>
    <row r="85" customFormat="false" ht="15" hidden="false" customHeight="false" outlineLevel="0" collapsed="false">
      <c r="A85" s="93" t="s">
        <v>422</v>
      </c>
    </row>
    <row r="86" customFormat="false" ht="15" hidden="false" customHeight="false" outlineLevel="0" collapsed="false">
      <c r="A86" s="93" t="s">
        <v>423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7" min="2" style="1" width="11"/>
    <col collapsed="false" customWidth="true" hidden="false" outlineLevel="0" max="8" min="8" style="1" width="90"/>
  </cols>
  <sheetData>
    <row r="1" customFormat="false" ht="17.25" hidden="false" customHeight="true" outlineLevel="0" collapsed="false">
      <c r="A1" s="2" t="s">
        <v>424</v>
      </c>
    </row>
    <row r="2" customFormat="false" ht="15" hidden="false" customHeight="true" outlineLevel="0" collapsed="false">
      <c r="A2" s="3" t="s">
        <v>425</v>
      </c>
    </row>
    <row r="3" customFormat="false" ht="15" hidden="false" customHeight="true" outlineLevel="0" collapsed="false">
      <c r="A3" s="3" t="s">
        <v>426</v>
      </c>
    </row>
    <row r="5" customFormat="false" ht="15" hidden="false" customHeight="true" outlineLevel="0" collapsed="false">
      <c r="A5" s="5" t="s">
        <v>4</v>
      </c>
      <c r="B5" s="6" t="s">
        <v>427</v>
      </c>
      <c r="C5" s="6" t="s">
        <v>5</v>
      </c>
      <c r="D5" s="6" t="s">
        <v>6</v>
      </c>
      <c r="E5" s="6" t="s">
        <v>7</v>
      </c>
      <c r="F5" s="6" t="s">
        <v>8</v>
      </c>
      <c r="G5" s="6" t="s">
        <v>9</v>
      </c>
      <c r="H5" s="5" t="s">
        <v>428</v>
      </c>
    </row>
    <row r="7" customFormat="false" ht="15" hidden="false" customHeight="true" outlineLevel="0" collapsed="false">
      <c r="A7" s="8" t="s">
        <v>429</v>
      </c>
      <c r="B7" s="9"/>
      <c r="C7" s="9"/>
      <c r="D7" s="9"/>
      <c r="E7" s="9"/>
      <c r="F7" s="9"/>
      <c r="G7" s="9"/>
      <c r="H7" s="9"/>
    </row>
    <row r="8" customFormat="false" ht="15" hidden="false" customHeight="true" outlineLevel="0" collapsed="false">
      <c r="A8" s="10" t="s">
        <v>430</v>
      </c>
      <c r="B8" s="3" t="s">
        <v>431</v>
      </c>
      <c r="C8" s="39" t="n">
        <v>10400</v>
      </c>
      <c r="D8" s="39" t="n">
        <v>11600</v>
      </c>
      <c r="E8" s="70" t="n">
        <v>12300</v>
      </c>
      <c r="F8" s="70" t="n">
        <v>13200</v>
      </c>
      <c r="G8" s="70" t="n">
        <v>14200</v>
      </c>
      <c r="H8" s="3" t="s">
        <v>432</v>
      </c>
    </row>
    <row r="9" customFormat="false" ht="15" hidden="false" customHeight="true" outlineLevel="0" collapsed="false">
      <c r="A9" s="10" t="s">
        <v>433</v>
      </c>
      <c r="B9" s="3" t="s">
        <v>434</v>
      </c>
      <c r="C9" s="117" t="n">
        <v>164.7</v>
      </c>
      <c r="D9" s="117" t="n">
        <v>192.5</v>
      </c>
      <c r="E9" s="117" t="n">
        <v>212.6</v>
      </c>
      <c r="F9" s="117" t="n">
        <v>233.8</v>
      </c>
      <c r="G9" s="117" t="n">
        <v>257.5</v>
      </c>
      <c r="H9" s="3" t="s">
        <v>435</v>
      </c>
    </row>
    <row r="11" customFormat="false" ht="15" hidden="false" customHeight="true" outlineLevel="0" collapsed="false">
      <c r="A11" s="8" t="s">
        <v>436</v>
      </c>
      <c r="B11" s="9"/>
      <c r="C11" s="9"/>
      <c r="D11" s="9"/>
      <c r="E11" s="9"/>
      <c r="F11" s="9"/>
      <c r="G11" s="9"/>
      <c r="H11" s="9"/>
    </row>
    <row r="12" customFormat="false" ht="15" hidden="false" customHeight="true" outlineLevel="0" collapsed="false">
      <c r="A12" s="10" t="s">
        <v>437</v>
      </c>
      <c r="B12" s="3" t="s">
        <v>438</v>
      </c>
      <c r="C12" s="70" t="n">
        <v>11475</v>
      </c>
      <c r="D12" s="70" t="n">
        <v>13361</v>
      </c>
      <c r="E12" s="70" t="n">
        <v>14826</v>
      </c>
      <c r="F12" s="70" t="n">
        <v>16114</v>
      </c>
      <c r="G12" s="70" t="n">
        <v>17539</v>
      </c>
      <c r="H12" s="3" t="s">
        <v>439</v>
      </c>
    </row>
    <row r="13" customFormat="false" ht="15" hidden="false" customHeight="true" outlineLevel="0" collapsed="false">
      <c r="A13" s="10" t="s">
        <v>440</v>
      </c>
      <c r="B13" s="3" t="s">
        <v>438</v>
      </c>
      <c r="C13" s="70" t="n">
        <v>12792</v>
      </c>
      <c r="D13" s="70" t="n">
        <v>14438</v>
      </c>
      <c r="E13" s="70" t="n">
        <v>16007</v>
      </c>
      <c r="F13" s="70" t="n">
        <v>17714</v>
      </c>
      <c r="G13" s="70" t="n">
        <v>19993</v>
      </c>
      <c r="H13" s="3" t="s">
        <v>441</v>
      </c>
    </row>
    <row r="14" customFormat="false" ht="15" hidden="false" customHeight="true" outlineLevel="0" collapsed="false">
      <c r="A14" s="10" t="s">
        <v>442</v>
      </c>
      <c r="B14" s="3" t="s">
        <v>438</v>
      </c>
      <c r="C14" s="70" t="n">
        <v>6530</v>
      </c>
      <c r="D14" s="70" t="n">
        <v>9815</v>
      </c>
      <c r="E14" s="70" t="n">
        <v>11638</v>
      </c>
      <c r="F14" s="70" t="n">
        <v>12665</v>
      </c>
      <c r="G14" s="70" t="n">
        <v>14166</v>
      </c>
      <c r="H14" s="3" t="s">
        <v>441</v>
      </c>
    </row>
    <row r="15" customFormat="false" ht="15" hidden="false" customHeight="true" outlineLevel="0" collapsed="false">
      <c r="A15" s="10" t="s">
        <v>443</v>
      </c>
      <c r="B15" s="3" t="s">
        <v>438</v>
      </c>
      <c r="C15" s="70" t="n">
        <v>1675</v>
      </c>
      <c r="D15" s="70" t="n">
        <v>1991</v>
      </c>
      <c r="E15" s="70" t="n">
        <v>2479</v>
      </c>
      <c r="F15" s="70" t="n">
        <v>3197</v>
      </c>
      <c r="G15" s="70" t="n">
        <v>4053</v>
      </c>
      <c r="H15" s="3" t="s">
        <v>441</v>
      </c>
    </row>
    <row r="16" customFormat="false" ht="15" hidden="false" customHeight="true" outlineLevel="0" collapsed="false">
      <c r="A16" s="10" t="s">
        <v>38</v>
      </c>
      <c r="B16" s="3" t="s">
        <v>438</v>
      </c>
      <c r="C16" s="70" t="n">
        <v>8367</v>
      </c>
      <c r="D16" s="70" t="n">
        <v>10295</v>
      </c>
      <c r="E16" s="70" t="n">
        <v>12297</v>
      </c>
      <c r="F16" s="70" t="n">
        <v>13764</v>
      </c>
      <c r="G16" s="70" t="n">
        <v>15751</v>
      </c>
      <c r="H16" s="3" t="s">
        <v>444</v>
      </c>
    </row>
    <row r="17" customFormat="false" ht="15" hidden="false" customHeight="true" outlineLevel="0" collapsed="false">
      <c r="A17" s="10" t="s">
        <v>445</v>
      </c>
      <c r="B17" s="3" t="s">
        <v>438</v>
      </c>
      <c r="C17" s="70" t="n">
        <v>24105</v>
      </c>
      <c r="D17" s="70" t="n">
        <v>29310</v>
      </c>
      <c r="E17" s="70" t="n">
        <v>32653</v>
      </c>
      <c r="F17" s="70" t="n">
        <v>35926</v>
      </c>
      <c r="G17" s="70" t="n">
        <v>40000</v>
      </c>
      <c r="H17" s="3" t="s">
        <v>446</v>
      </c>
    </row>
    <row r="19" customFormat="false" ht="15" hidden="false" customHeight="true" outlineLevel="0" collapsed="false">
      <c r="A19" s="8" t="s">
        <v>447</v>
      </c>
      <c r="B19" s="9"/>
      <c r="C19" s="9"/>
      <c r="D19" s="9"/>
      <c r="E19" s="9"/>
      <c r="F19" s="9"/>
      <c r="G19" s="9"/>
      <c r="H19" s="9"/>
    </row>
    <row r="20" customFormat="false" ht="15" hidden="false" customHeight="true" outlineLevel="0" collapsed="false">
      <c r="A20" s="10" t="s">
        <v>448</v>
      </c>
      <c r="B20" s="3" t="s">
        <v>438</v>
      </c>
      <c r="C20" s="70" t="n">
        <v>4240</v>
      </c>
      <c r="D20" s="70" t="n">
        <v>4990</v>
      </c>
      <c r="E20" s="70" t="n">
        <v>5831</v>
      </c>
      <c r="F20" s="70" t="n">
        <v>6264</v>
      </c>
      <c r="G20" s="70" t="n">
        <v>6961</v>
      </c>
      <c r="H20" s="3" t="s">
        <v>449</v>
      </c>
    </row>
    <row r="21" customFormat="false" ht="15" hidden="false" customHeight="true" outlineLevel="0" collapsed="false">
      <c r="A21" s="10" t="s">
        <v>450</v>
      </c>
      <c r="B21" s="3" t="s">
        <v>438</v>
      </c>
      <c r="C21" s="70" t="n">
        <v>1136</v>
      </c>
      <c r="D21" s="70" t="n">
        <v>1336</v>
      </c>
      <c r="E21" s="70" t="n">
        <v>1341</v>
      </c>
      <c r="F21" s="70" t="n">
        <v>1560</v>
      </c>
      <c r="G21" s="70" t="n">
        <v>1684</v>
      </c>
      <c r="H21" s="3" t="s">
        <v>449</v>
      </c>
    </row>
    <row r="22" customFormat="false" ht="15" hidden="false" customHeight="true" outlineLevel="0" collapsed="false">
      <c r="A22" s="10" t="s">
        <v>451</v>
      </c>
      <c r="B22" s="3" t="s">
        <v>438</v>
      </c>
      <c r="C22" s="70" t="n">
        <v>730</v>
      </c>
      <c r="D22" s="70" t="n">
        <v>743</v>
      </c>
      <c r="E22" s="70" t="n">
        <v>736</v>
      </c>
      <c r="F22" s="70" t="n">
        <v>778</v>
      </c>
      <c r="G22" s="70" t="n">
        <v>894</v>
      </c>
      <c r="H22" s="3" t="s">
        <v>449</v>
      </c>
    </row>
    <row r="23" customFormat="false" ht="15" hidden="false" customHeight="true" outlineLevel="0" collapsed="false">
      <c r="A23" s="10" t="s">
        <v>452</v>
      </c>
      <c r="B23" s="3" t="s">
        <v>438</v>
      </c>
      <c r="C23" s="70" t="n">
        <v>403</v>
      </c>
      <c r="D23" s="70" t="n">
        <v>505</v>
      </c>
      <c r="E23" s="70" t="n">
        <v>545</v>
      </c>
      <c r="F23" s="70" t="n">
        <v>635</v>
      </c>
      <c r="G23" s="70" t="n">
        <v>759</v>
      </c>
      <c r="H23" s="3" t="s">
        <v>449</v>
      </c>
    </row>
    <row r="24" customFormat="false" ht="15" hidden="false" customHeight="true" outlineLevel="0" collapsed="false">
      <c r="A24" s="10" t="s">
        <v>453</v>
      </c>
      <c r="B24" s="3" t="s">
        <v>438</v>
      </c>
      <c r="C24" s="70" t="n">
        <v>804</v>
      </c>
      <c r="D24" s="70" t="n">
        <v>861</v>
      </c>
      <c r="E24" s="70" t="n">
        <v>943</v>
      </c>
      <c r="F24" s="70" t="n">
        <v>1034</v>
      </c>
      <c r="G24" s="70" t="n">
        <v>1220</v>
      </c>
      <c r="H24" s="3" t="s">
        <v>449</v>
      </c>
    </row>
    <row r="25" customFormat="false" ht="15" hidden="false" customHeight="true" outlineLevel="0" collapsed="false">
      <c r="A25" s="10" t="s">
        <v>454</v>
      </c>
      <c r="B25" s="3" t="s">
        <v>438</v>
      </c>
      <c r="C25" s="70" t="n">
        <v>985</v>
      </c>
      <c r="D25" s="70" t="n">
        <v>1194</v>
      </c>
      <c r="E25" s="70" t="n">
        <v>1330</v>
      </c>
      <c r="F25" s="70" t="n">
        <v>1598</v>
      </c>
      <c r="G25" s="70" t="n">
        <v>1926</v>
      </c>
      <c r="H25" s="3" t="s">
        <v>449</v>
      </c>
    </row>
    <row r="26" customFormat="false" ht="15" hidden="false" customHeight="true" outlineLevel="0" collapsed="false">
      <c r="A26" s="10" t="s">
        <v>82</v>
      </c>
      <c r="B26" s="3" t="s">
        <v>438</v>
      </c>
      <c r="C26" s="70" t="n">
        <v>3</v>
      </c>
      <c r="D26" s="70" t="n">
        <v>868</v>
      </c>
      <c r="E26" s="70" t="n">
        <v>927</v>
      </c>
      <c r="F26" s="70" t="n">
        <v>462</v>
      </c>
      <c r="G26" s="70" t="n">
        <v>2562</v>
      </c>
      <c r="H26" s="3" t="s">
        <v>449</v>
      </c>
    </row>
    <row r="27" customFormat="false" ht="15" hidden="false" customHeight="true" outlineLevel="0" collapsed="false">
      <c r="A27" s="10" t="s">
        <v>455</v>
      </c>
      <c r="B27" s="3" t="s">
        <v>438</v>
      </c>
      <c r="C27" s="70" t="n">
        <v>8301</v>
      </c>
      <c r="D27" s="70" t="n">
        <v>10497</v>
      </c>
      <c r="E27" s="70" t="n">
        <v>11653</v>
      </c>
      <c r="F27" s="70" t="n">
        <v>12331</v>
      </c>
      <c r="G27" s="70" t="n">
        <v>16006</v>
      </c>
      <c r="H27" s="3" t="s">
        <v>446</v>
      </c>
    </row>
    <row r="28" customFormat="false" ht="15" hidden="false" customHeight="true" outlineLevel="0" collapsed="false">
      <c r="A28" s="10" t="s">
        <v>456</v>
      </c>
      <c r="B28" s="3" t="s">
        <v>438</v>
      </c>
      <c r="C28" s="70" t="n">
        <v>8077</v>
      </c>
      <c r="D28" s="70" t="n">
        <v>9387</v>
      </c>
      <c r="E28" s="70" t="n">
        <v>10481</v>
      </c>
      <c r="F28" s="70" t="n">
        <v>11609</v>
      </c>
      <c r="G28" s="70" t="n">
        <v>12906</v>
      </c>
      <c r="H28" s="3" t="s">
        <v>457</v>
      </c>
    </row>
    <row r="30" customFormat="false" ht="15" hidden="false" customHeight="true" outlineLevel="0" collapsed="false">
      <c r="A30" s="8" t="s">
        <v>458</v>
      </c>
      <c r="B30" s="9"/>
      <c r="C30" s="9"/>
      <c r="D30" s="9"/>
      <c r="E30" s="9"/>
      <c r="F30" s="9"/>
      <c r="G30" s="9"/>
      <c r="H30" s="9"/>
    </row>
    <row r="31" customFormat="false" ht="15" hidden="false" customHeight="true" outlineLevel="0" collapsed="false">
      <c r="A31" s="10" t="s">
        <v>459</v>
      </c>
      <c r="B31" s="3" t="s">
        <v>438</v>
      </c>
      <c r="C31" s="70" t="n">
        <v>15804</v>
      </c>
      <c r="D31" s="70" t="n">
        <v>18813</v>
      </c>
      <c r="E31" s="70" t="n">
        <v>21000</v>
      </c>
      <c r="F31" s="70" t="n">
        <v>23595</v>
      </c>
      <c r="G31" s="70" t="n">
        <v>23994</v>
      </c>
      <c r="H31" s="3" t="s">
        <v>446</v>
      </c>
    </row>
    <row r="32" customFormat="false" ht="15" hidden="false" customHeight="true" outlineLevel="0" collapsed="false">
      <c r="A32" s="10" t="s">
        <v>460</v>
      </c>
      <c r="B32" s="3" t="s">
        <v>438</v>
      </c>
      <c r="C32" s="70" t="n">
        <v>513</v>
      </c>
      <c r="D32" s="70" t="n">
        <v>538</v>
      </c>
      <c r="E32" s="70" t="n">
        <v>644</v>
      </c>
      <c r="F32" s="70" t="n">
        <v>641</v>
      </c>
      <c r="G32" s="70" t="n">
        <v>589</v>
      </c>
      <c r="H32" s="3" t="s">
        <v>461</v>
      </c>
    </row>
    <row r="33" customFormat="false" ht="15" hidden="false" customHeight="true" outlineLevel="0" collapsed="false">
      <c r="A33" s="10" t="s">
        <v>462</v>
      </c>
      <c r="B33" s="3" t="s">
        <v>438</v>
      </c>
      <c r="C33" s="70" t="n">
        <v>259</v>
      </c>
      <c r="D33" s="70" t="n">
        <v>-677</v>
      </c>
      <c r="E33" s="70" t="n">
        <v>37</v>
      </c>
      <c r="F33" s="70" t="n">
        <v>321</v>
      </c>
      <c r="G33" s="70" t="n">
        <v>200</v>
      </c>
      <c r="H33" s="3" t="s">
        <v>446</v>
      </c>
    </row>
    <row r="34" customFormat="false" ht="15" hidden="false" customHeight="true" outlineLevel="0" collapsed="false">
      <c r="A34" s="10" t="s">
        <v>463</v>
      </c>
      <c r="B34" s="3" t="s">
        <v>438</v>
      </c>
      <c r="C34" s="70" t="n">
        <v>16063</v>
      </c>
      <c r="D34" s="70" t="n">
        <v>18136</v>
      </c>
      <c r="E34" s="70" t="n">
        <v>21037</v>
      </c>
      <c r="F34" s="70" t="n">
        <v>23916</v>
      </c>
      <c r="G34" s="70" t="n">
        <v>24194</v>
      </c>
      <c r="H34" s="3" t="s">
        <v>446</v>
      </c>
    </row>
    <row r="35" customFormat="false" ht="15" hidden="false" customHeight="true" outlineLevel="0" collapsed="false">
      <c r="A35" s="10" t="s">
        <v>101</v>
      </c>
      <c r="B35" s="3" t="s">
        <v>438</v>
      </c>
      <c r="C35" s="70" t="n">
        <v>3752</v>
      </c>
      <c r="D35" s="70" t="n">
        <v>3179</v>
      </c>
      <c r="E35" s="70" t="n">
        <v>3764</v>
      </c>
      <c r="F35" s="70" t="n">
        <v>4173</v>
      </c>
      <c r="G35" s="70" t="n">
        <v>4136</v>
      </c>
      <c r="H35" s="3" t="s">
        <v>446</v>
      </c>
    </row>
    <row r="36" customFormat="false" ht="15" hidden="false" customHeight="true" outlineLevel="0" collapsed="false">
      <c r="A36" s="10" t="s">
        <v>107</v>
      </c>
      <c r="B36" s="3" t="s">
        <v>438</v>
      </c>
      <c r="C36" s="70" t="n">
        <v>12311</v>
      </c>
      <c r="D36" s="70" t="n">
        <v>14957</v>
      </c>
      <c r="E36" s="70" t="n">
        <v>17273</v>
      </c>
      <c r="F36" s="70" t="n">
        <v>19743</v>
      </c>
      <c r="G36" s="70" t="n">
        <v>20058</v>
      </c>
      <c r="H36" s="3" t="s">
        <v>446</v>
      </c>
    </row>
    <row r="38" customFormat="false" ht="15" hidden="false" customHeight="true" outlineLevel="0" collapsed="false">
      <c r="A38" s="8" t="s">
        <v>464</v>
      </c>
      <c r="B38" s="9"/>
      <c r="C38" s="9"/>
      <c r="D38" s="9"/>
      <c r="E38" s="9"/>
      <c r="F38" s="9"/>
      <c r="G38" s="9"/>
      <c r="H38" s="9"/>
    </row>
    <row r="39" customFormat="false" ht="15" hidden="false" customHeight="true" outlineLevel="0" collapsed="false">
      <c r="A39" s="10" t="s">
        <v>465</v>
      </c>
      <c r="B39" s="3" t="s">
        <v>438</v>
      </c>
      <c r="C39" s="70" t="n">
        <v>16487</v>
      </c>
      <c r="D39" s="70" t="n">
        <v>15689</v>
      </c>
      <c r="E39" s="70" t="n">
        <v>16286</v>
      </c>
      <c r="F39" s="70" t="n">
        <v>11975</v>
      </c>
      <c r="G39" s="70" t="n">
        <v>17164</v>
      </c>
      <c r="H39" s="3" t="s">
        <v>466</v>
      </c>
    </row>
    <row r="40" customFormat="false" ht="15" hidden="false" customHeight="true" outlineLevel="0" collapsed="false">
      <c r="A40" s="10" t="s">
        <v>467</v>
      </c>
      <c r="B40" s="3" t="s">
        <v>438</v>
      </c>
      <c r="C40" s="70" t="n">
        <v>894</v>
      </c>
      <c r="D40" s="70" t="n">
        <v>1449</v>
      </c>
      <c r="E40" s="70" t="n">
        <v>1764</v>
      </c>
      <c r="F40" s="70" t="n">
        <v>3089</v>
      </c>
      <c r="G40" s="70" t="n">
        <v>2990</v>
      </c>
      <c r="H40" s="3" t="s">
        <v>466</v>
      </c>
    </row>
    <row r="41" customFormat="false" ht="15" hidden="false" customHeight="true" outlineLevel="0" collapsed="false">
      <c r="A41" s="10" t="s">
        <v>468</v>
      </c>
      <c r="B41" s="3" t="s">
        <v>438</v>
      </c>
      <c r="C41" s="70" t="n">
        <v>2025</v>
      </c>
      <c r="D41" s="70" t="n">
        <v>2833</v>
      </c>
      <c r="E41" s="70" t="n">
        <v>3842</v>
      </c>
      <c r="F41" s="70" t="n">
        <v>3200</v>
      </c>
      <c r="G41" s="70" t="n">
        <v>1833</v>
      </c>
      <c r="H41" s="3" t="s">
        <v>466</v>
      </c>
    </row>
    <row r="42" customFormat="false" ht="15" hidden="false" customHeight="true" outlineLevel="0" collapsed="false">
      <c r="A42" s="10" t="s">
        <v>469</v>
      </c>
      <c r="B42" s="3" t="s">
        <v>438</v>
      </c>
      <c r="C42" s="70" t="n">
        <v>1705</v>
      </c>
      <c r="D42" s="70" t="n">
        <v>2136</v>
      </c>
      <c r="E42" s="70" t="n">
        <v>1921</v>
      </c>
      <c r="F42" s="70" t="n">
        <v>2545</v>
      </c>
      <c r="G42" s="70" t="n">
        <v>999</v>
      </c>
      <c r="H42" s="3" t="s">
        <v>466</v>
      </c>
    </row>
    <row r="43" customFormat="false" ht="15" hidden="false" customHeight="true" outlineLevel="0" collapsed="false">
      <c r="A43" s="10" t="s">
        <v>148</v>
      </c>
      <c r="B43" s="3" t="s">
        <v>438</v>
      </c>
      <c r="C43" s="70" t="n">
        <v>15958</v>
      </c>
      <c r="D43" s="70" t="n">
        <v>17787</v>
      </c>
      <c r="E43" s="70" t="n">
        <v>17997</v>
      </c>
      <c r="F43" s="70" t="n">
        <v>18941</v>
      </c>
      <c r="G43" s="70" t="n">
        <v>19879</v>
      </c>
      <c r="H43" s="3" t="s">
        <v>466</v>
      </c>
    </row>
    <row r="44" customFormat="false" ht="15" hidden="false" customHeight="true" outlineLevel="0" collapsed="false">
      <c r="A44" s="10" t="s">
        <v>150</v>
      </c>
      <c r="B44" s="3" t="s">
        <v>438</v>
      </c>
      <c r="C44" s="70" t="n">
        <v>27664</v>
      </c>
      <c r="D44" s="70" t="n">
        <v>25065</v>
      </c>
      <c r="E44" s="70" t="n">
        <v>26104</v>
      </c>
      <c r="F44" s="70" t="n">
        <v>26889</v>
      </c>
      <c r="G44" s="70" t="n">
        <v>27646</v>
      </c>
      <c r="H44" s="3" t="s">
        <v>466</v>
      </c>
    </row>
    <row r="45" customFormat="false" ht="15" hidden="false" customHeight="true" outlineLevel="0" collapsed="false">
      <c r="A45" s="10" t="s">
        <v>470</v>
      </c>
      <c r="B45" s="3" t="s">
        <v>438</v>
      </c>
      <c r="C45" s="70" t="n">
        <v>999</v>
      </c>
      <c r="D45" s="70" t="n">
        <v>2250</v>
      </c>
      <c r="E45" s="70" t="n">
        <v>0</v>
      </c>
      <c r="F45" s="70" t="n">
        <v>0</v>
      </c>
      <c r="G45" s="70" t="n">
        <v>5569</v>
      </c>
      <c r="H45" s="3" t="s">
        <v>466</v>
      </c>
    </row>
    <row r="46" customFormat="false" ht="15" hidden="false" customHeight="true" outlineLevel="0" collapsed="false">
      <c r="A46" s="10" t="s">
        <v>471</v>
      </c>
      <c r="B46" s="3" t="s">
        <v>438</v>
      </c>
      <c r="C46" s="70" t="n">
        <v>19978</v>
      </c>
      <c r="D46" s="70" t="n">
        <v>20200</v>
      </c>
      <c r="E46" s="70" t="n">
        <v>20463</v>
      </c>
      <c r="F46" s="70" t="n">
        <v>20836</v>
      </c>
      <c r="G46" s="70" t="n">
        <v>19602</v>
      </c>
      <c r="H46" s="3" t="s">
        <v>466</v>
      </c>
    </row>
    <row r="47" customFormat="false" ht="15" hidden="false" customHeight="true" outlineLevel="0" collapsed="false">
      <c r="A47" s="10" t="s">
        <v>472</v>
      </c>
      <c r="B47" s="3" t="s">
        <v>438</v>
      </c>
      <c r="C47" s="70" t="n">
        <v>983</v>
      </c>
      <c r="D47" s="70" t="n">
        <v>1456</v>
      </c>
      <c r="E47" s="70" t="n">
        <v>1751</v>
      </c>
      <c r="F47" s="70" t="n">
        <v>1727</v>
      </c>
      <c r="G47" s="70" t="n">
        <v>3033</v>
      </c>
      <c r="H47" s="3" t="s">
        <v>466</v>
      </c>
    </row>
    <row r="48" customFormat="false" ht="15" hidden="false" customHeight="true" outlineLevel="0" collapsed="false">
      <c r="A48" s="10" t="s">
        <v>347</v>
      </c>
      <c r="B48" s="3" t="s">
        <v>438</v>
      </c>
      <c r="C48" s="70" t="n">
        <v>37589</v>
      </c>
      <c r="D48" s="70" t="n">
        <v>35581</v>
      </c>
      <c r="E48" s="70" t="n">
        <v>38733</v>
      </c>
      <c r="F48" s="70" t="n">
        <v>39137</v>
      </c>
      <c r="G48" s="70" t="n">
        <v>37909</v>
      </c>
      <c r="H48" s="3" t="s">
        <v>466</v>
      </c>
    </row>
    <row r="49" customFormat="false" ht="15" hidden="false" customHeight="true" outlineLevel="0" collapsed="false">
      <c r="A49" s="10" t="s">
        <v>473</v>
      </c>
      <c r="B49" s="3" t="s">
        <v>438</v>
      </c>
      <c r="C49" s="70" t="n">
        <v>82896</v>
      </c>
      <c r="D49" s="70" t="n">
        <v>85501</v>
      </c>
      <c r="E49" s="70" t="n">
        <v>90499</v>
      </c>
      <c r="F49" s="70" t="n">
        <v>94511</v>
      </c>
      <c r="G49" s="70" t="n">
        <v>99627</v>
      </c>
      <c r="H49" s="3" t="s">
        <v>466</v>
      </c>
    </row>
    <row r="51" customFormat="false" ht="15" hidden="false" customHeight="true" outlineLevel="0" collapsed="false">
      <c r="A51" s="8" t="s">
        <v>474</v>
      </c>
      <c r="B51" s="9"/>
      <c r="C51" s="9"/>
      <c r="D51" s="9"/>
      <c r="E51" s="9"/>
      <c r="F51" s="9"/>
      <c r="G51" s="9"/>
      <c r="H51" s="9"/>
    </row>
    <row r="52" customFormat="false" ht="15" hidden="false" customHeight="true" outlineLevel="0" collapsed="false">
      <c r="A52" s="10" t="s">
        <v>475</v>
      </c>
      <c r="B52" s="3" t="s">
        <v>438</v>
      </c>
      <c r="C52" s="70" t="n">
        <v>15227</v>
      </c>
      <c r="D52" s="70" t="n">
        <v>18849</v>
      </c>
      <c r="E52" s="70" t="n">
        <v>20755</v>
      </c>
      <c r="F52" s="70" t="n">
        <v>19950</v>
      </c>
      <c r="G52" s="70" t="n">
        <v>23059</v>
      </c>
      <c r="H52" s="3" t="s">
        <v>446</v>
      </c>
    </row>
    <row r="53" customFormat="false" ht="15" hidden="false" customHeight="true" outlineLevel="0" collapsed="false">
      <c r="A53" s="10" t="s">
        <v>476</v>
      </c>
      <c r="B53" s="3" t="s">
        <v>438</v>
      </c>
      <c r="C53" s="70" t="n">
        <v>705</v>
      </c>
      <c r="D53" s="70" t="n">
        <v>970</v>
      </c>
      <c r="E53" s="70" t="n">
        <v>1059</v>
      </c>
      <c r="F53" s="70" t="n">
        <v>1257</v>
      </c>
      <c r="G53" s="70" t="n">
        <v>1482</v>
      </c>
      <c r="H53" s="3" t="s">
        <v>446</v>
      </c>
    </row>
    <row r="54" customFormat="false" ht="15" hidden="false" customHeight="true" outlineLevel="0" collapsed="false">
      <c r="A54" s="10" t="s">
        <v>477</v>
      </c>
      <c r="B54" s="3" t="s">
        <v>438</v>
      </c>
      <c r="C54" s="70" t="n">
        <v>8676</v>
      </c>
      <c r="D54" s="70" t="n">
        <v>11589</v>
      </c>
      <c r="E54" s="70" t="n">
        <v>12101</v>
      </c>
      <c r="F54" s="70" t="n">
        <v>16713</v>
      </c>
      <c r="G54" s="70" t="n">
        <v>18316</v>
      </c>
      <c r="H54" s="3" t="s">
        <v>478</v>
      </c>
    </row>
    <row r="55" customFormat="false" ht="15" hidden="false" customHeight="true" outlineLevel="0" collapsed="false">
      <c r="A55" s="10" t="s">
        <v>280</v>
      </c>
      <c r="B55" s="3" t="s">
        <v>438</v>
      </c>
      <c r="C55" s="70" t="n">
        <v>2798</v>
      </c>
      <c r="D55" s="70" t="n">
        <v>3203</v>
      </c>
      <c r="E55" s="70" t="n">
        <v>3751</v>
      </c>
      <c r="F55" s="70" t="n">
        <v>4217</v>
      </c>
      <c r="G55" s="70" t="n">
        <v>4634</v>
      </c>
      <c r="H55" s="3" t="s">
        <v>478</v>
      </c>
    </row>
    <row r="57" customFormat="false" ht="15" hidden="false" customHeight="true" outlineLevel="0" collapsed="false">
      <c r="A57" s="8" t="s">
        <v>479</v>
      </c>
      <c r="B57" s="9"/>
      <c r="C57" s="9"/>
      <c r="D57" s="9"/>
      <c r="E57" s="9"/>
      <c r="F57" s="9"/>
      <c r="G57" s="9"/>
      <c r="H57" s="9"/>
    </row>
    <row r="58" customFormat="false" ht="15" hidden="false" customHeight="true" outlineLevel="0" collapsed="false">
      <c r="A58" s="10" t="s">
        <v>480</v>
      </c>
      <c r="C58" s="28" t="n">
        <f aca="false">C12+C13+C14+C15-C16-C17</f>
        <v>0</v>
      </c>
      <c r="D58" s="28" t="n">
        <f aca="false">D12+D13+D14+D15-D16-D17</f>
        <v>0</v>
      </c>
      <c r="E58" s="28" t="n">
        <f aca="false">E12+E13+E14+E15-E16-E17</f>
        <v>0</v>
      </c>
      <c r="F58" s="28" t="n">
        <f aca="false">F12+F13+F14+F15-F16-F17</f>
        <v>0</v>
      </c>
      <c r="G58" s="28" t="n">
        <f aca="false">G12+G13+G14+G15-G16-G17</f>
        <v>0</v>
      </c>
    </row>
    <row r="59" customFormat="false" ht="15" hidden="false" customHeight="true" outlineLevel="0" collapsed="false">
      <c r="A59" s="10" t="s">
        <v>481</v>
      </c>
      <c r="C59" s="28" t="n">
        <f aca="false">SUM(C20:C26)-C27</f>
        <v>0</v>
      </c>
      <c r="D59" s="28" t="n">
        <f aca="false">SUM(D20:D26)-D27</f>
        <v>0</v>
      </c>
      <c r="E59" s="28" t="n">
        <f aca="false">SUM(E20:E26)-E27</f>
        <v>0</v>
      </c>
      <c r="F59" s="28" t="n">
        <f aca="false">SUM(F20:F26)-F27</f>
        <v>0</v>
      </c>
      <c r="G59" s="28" t="n">
        <f aca="false">SUM(G20:G26)-G27</f>
        <v>0</v>
      </c>
    </row>
    <row r="60" customFormat="false" ht="15" hidden="false" customHeight="true" outlineLevel="0" collapsed="false">
      <c r="A60" s="10" t="s">
        <v>482</v>
      </c>
      <c r="C60" s="28" t="n">
        <f aca="false">C17-C27-C31</f>
        <v>0</v>
      </c>
      <c r="D60" s="28" t="n">
        <f aca="false">D17-D27-D31</f>
        <v>0</v>
      </c>
      <c r="E60" s="28" t="n">
        <f aca="false">E17-E27-E31</f>
        <v>0</v>
      </c>
      <c r="F60" s="28" t="n">
        <f aca="false">F17-F27-F31</f>
        <v>0</v>
      </c>
      <c r="G60" s="28" t="n">
        <f aca="false">G17-G27-G31</f>
        <v>0</v>
      </c>
    </row>
    <row r="61" customFormat="false" ht="15" hidden="false" customHeight="true" outlineLevel="0" collapsed="false">
      <c r="A61" s="10" t="s">
        <v>483</v>
      </c>
      <c r="C61" s="28" t="n">
        <f aca="false">C31+C33-C34</f>
        <v>0</v>
      </c>
      <c r="D61" s="28" t="n">
        <f aca="false">D31+D33-D34</f>
        <v>0</v>
      </c>
      <c r="E61" s="28" t="n">
        <f aca="false">E31+E33-E34</f>
        <v>0</v>
      </c>
      <c r="F61" s="28" t="n">
        <f aca="false">F31+F33-F34</f>
        <v>0</v>
      </c>
      <c r="G61" s="28" t="n">
        <f aca="false">G31+G33-G34</f>
        <v>0</v>
      </c>
    </row>
    <row r="62" customFormat="false" ht="15" hidden="false" customHeight="true" outlineLevel="0" collapsed="false">
      <c r="A62" s="10" t="s">
        <v>484</v>
      </c>
      <c r="C62" s="28" t="n">
        <f aca="false">C34-C35-C36</f>
        <v>0</v>
      </c>
      <c r="D62" s="28" t="n">
        <f aca="false">D34-D35-D36</f>
        <v>0</v>
      </c>
      <c r="E62" s="28" t="n">
        <f aca="false">E34-E35-E36</f>
        <v>0</v>
      </c>
      <c r="F62" s="28" t="n">
        <f aca="false">F34-F35-F36</f>
        <v>0</v>
      </c>
      <c r="G62" s="28" t="n">
        <f aca="false">G34-G35-G36</f>
        <v>0</v>
      </c>
    </row>
    <row r="63" customFormat="false" ht="15" hidden="false" customHeight="true" outlineLevel="0" collapsed="false">
      <c r="A63" s="4" t="s">
        <v>485</v>
      </c>
      <c r="C63" s="23" t="n">
        <f aca="false">SUMPRODUCT(ABS(C58:G62))</f>
        <v>0</v>
      </c>
    </row>
    <row r="66" customFormat="false" ht="15" hidden="false" customHeight="true" outlineLevel="0" collapsed="false">
      <c r="A66" s="8" t="s">
        <v>486</v>
      </c>
      <c r="B66" s="9"/>
      <c r="C66" s="9"/>
      <c r="D66" s="9"/>
      <c r="E66" s="9"/>
      <c r="F66" s="9"/>
      <c r="G66" s="9"/>
      <c r="H66" s="9"/>
    </row>
    <row r="67" customFormat="false" ht="15" hidden="false" customHeight="true" outlineLevel="0" collapsed="false">
      <c r="A67" s="3" t="s">
        <v>487</v>
      </c>
    </row>
    <row r="68" customFormat="false" ht="15" hidden="false" customHeight="true" outlineLevel="0" collapsed="false">
      <c r="A68" s="3" t="s">
        <v>488</v>
      </c>
    </row>
    <row r="69" customFormat="false" ht="15" hidden="false" customHeight="true" outlineLevel="0" collapsed="false">
      <c r="A69" s="3" t="s">
        <v>489</v>
      </c>
    </row>
    <row r="70" customFormat="false" ht="15" hidden="false" customHeight="true" outlineLevel="0" collapsed="false">
      <c r="A70" s="3" t="s">
        <v>490</v>
      </c>
    </row>
    <row r="72" customFormat="false" ht="15" hidden="false" customHeight="true" outlineLevel="0" collapsed="false"/>
    <row r="73" customFormat="false" ht="15" hidden="false" customHeight="true" outlineLevel="0" collapsed="false"/>
    <row r="74" customFormat="false" ht="15" hidden="false" customHeight="true" outlineLevel="0" collapsed="false">
      <c r="A74" s="8" t="s">
        <v>491</v>
      </c>
      <c r="B74" s="9"/>
      <c r="C74" s="9"/>
      <c r="D74" s="9"/>
      <c r="E74" s="9"/>
      <c r="F74" s="9"/>
      <c r="G74" s="9"/>
      <c r="H74" s="9"/>
    </row>
    <row r="75" customFormat="false" ht="15" hidden="false" customHeight="true" outlineLevel="0" collapsed="false">
      <c r="A75" s="10" t="s">
        <v>492</v>
      </c>
      <c r="B75" s="3" t="s">
        <v>493</v>
      </c>
      <c r="C75" s="71" t="n">
        <v>222.75</v>
      </c>
      <c r="D75" s="71" t="n">
        <v>177.65</v>
      </c>
      <c r="E75" s="71" t="n">
        <v>230.01</v>
      </c>
      <c r="F75" s="71" t="n">
        <v>274.95</v>
      </c>
      <c r="G75" s="71" t="n">
        <v>341.38</v>
      </c>
      <c r="H75" s="3" t="s">
        <v>494</v>
      </c>
    </row>
    <row r="76" customFormat="false" ht="15" hidden="false" customHeight="true" outlineLevel="0" collapsed="false">
      <c r="A76" s="10" t="s">
        <v>495</v>
      </c>
      <c r="B76" s="3" t="s">
        <v>496</v>
      </c>
      <c r="C76" s="118" t="n">
        <v>2161</v>
      </c>
      <c r="D76" s="118" t="n">
        <v>2103</v>
      </c>
      <c r="E76" s="118" t="n">
        <v>2047</v>
      </c>
      <c r="F76" s="118" t="n">
        <v>1983</v>
      </c>
      <c r="G76" s="118" t="n">
        <v>1930</v>
      </c>
      <c r="H76" s="3" t="s">
        <v>497</v>
      </c>
    </row>
    <row r="77" customFormat="false" ht="15" hidden="false" customHeight="true" outlineLevel="0" collapsed="false">
      <c r="A77" s="10" t="s">
        <v>498</v>
      </c>
      <c r="B77" s="3" t="s">
        <v>493</v>
      </c>
      <c r="C77" s="119" t="n">
        <v>0.32</v>
      </c>
      <c r="D77" s="119" t="n">
        <v>0.375</v>
      </c>
      <c r="E77" s="119" t="n">
        <v>0.45</v>
      </c>
      <c r="F77" s="119" t="n">
        <v>0.52</v>
      </c>
      <c r="G77" s="119" t="n">
        <v>0.59</v>
      </c>
      <c r="H77" s="3" t="s">
        <v>499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7" min="2" style="0" width="11"/>
    <col collapsed="false" customWidth="true" hidden="false" outlineLevel="0" max="8" min="8" style="0" width="95"/>
  </cols>
  <sheetData>
    <row r="1" customFormat="false" ht="17.35" hidden="false" customHeight="false" outlineLevel="0" collapsed="false">
      <c r="A1" s="92" t="s">
        <v>500</v>
      </c>
    </row>
    <row r="2" customFormat="false" ht="15" hidden="false" customHeight="false" outlineLevel="0" collapsed="false">
      <c r="A2" s="93" t="s">
        <v>501</v>
      </c>
    </row>
    <row r="3" customFormat="false" ht="15" hidden="false" customHeight="false" outlineLevel="0" collapsed="false">
      <c r="A3" s="93" t="s">
        <v>502</v>
      </c>
    </row>
    <row r="5" customFormat="false" ht="15" hidden="false" customHeight="false" outlineLevel="0" collapsed="false">
      <c r="A5" s="120" t="s">
        <v>4</v>
      </c>
      <c r="B5" s="120" t="s">
        <v>427</v>
      </c>
      <c r="C5" s="120" t="s">
        <v>5</v>
      </c>
      <c r="D5" s="120" t="s">
        <v>6</v>
      </c>
      <c r="E5" s="120" t="s">
        <v>7</v>
      </c>
      <c r="F5" s="120" t="s">
        <v>8</v>
      </c>
      <c r="G5" s="120" t="s">
        <v>9</v>
      </c>
      <c r="H5" s="120" t="s">
        <v>428</v>
      </c>
    </row>
    <row r="7" customFormat="false" ht="15" hidden="false" customHeight="false" outlineLevel="0" collapsed="false">
      <c r="A7" s="94" t="s">
        <v>429</v>
      </c>
      <c r="B7" s="95"/>
      <c r="C7" s="95"/>
      <c r="D7" s="95"/>
      <c r="E7" s="95"/>
      <c r="F7" s="95"/>
      <c r="G7" s="95"/>
      <c r="H7" s="95"/>
    </row>
    <row r="8" customFormat="false" ht="15" hidden="false" customHeight="false" outlineLevel="0" collapsed="false">
      <c r="A8" s="96" t="s">
        <v>503</v>
      </c>
      <c r="B8" s="93" t="s">
        <v>431</v>
      </c>
      <c r="C8" s="121" t="n">
        <v>7725</v>
      </c>
      <c r="D8" s="121" t="n">
        <v>8180</v>
      </c>
      <c r="E8" s="121" t="n">
        <v>9030</v>
      </c>
      <c r="F8" s="121" t="n">
        <v>9780</v>
      </c>
      <c r="G8" s="121" t="n">
        <v>10632</v>
      </c>
      <c r="H8" s="93" t="s">
        <v>504</v>
      </c>
    </row>
    <row r="9" customFormat="false" ht="15" hidden="false" customHeight="false" outlineLevel="0" collapsed="false">
      <c r="A9" s="96" t="s">
        <v>505</v>
      </c>
      <c r="B9" s="93" t="s">
        <v>431</v>
      </c>
      <c r="C9" s="121" t="n">
        <v>5974</v>
      </c>
      <c r="D9" s="121" t="n">
        <v>6571</v>
      </c>
      <c r="E9" s="121" t="n">
        <v>7345</v>
      </c>
      <c r="F9" s="121" t="n">
        <v>8003</v>
      </c>
      <c r="G9" s="121" t="n">
        <v>8799</v>
      </c>
      <c r="H9" s="93" t="s">
        <v>506</v>
      </c>
    </row>
    <row r="11" customFormat="false" ht="15" hidden="false" customHeight="false" outlineLevel="0" collapsed="false">
      <c r="A11" s="94" t="s">
        <v>507</v>
      </c>
      <c r="B11" s="95"/>
      <c r="C11" s="95"/>
      <c r="D11" s="95"/>
      <c r="E11" s="95"/>
      <c r="F11" s="95"/>
      <c r="G11" s="95"/>
      <c r="H11" s="95"/>
    </row>
    <row r="12" customFormat="false" ht="15" hidden="false" customHeight="false" outlineLevel="0" collapsed="false">
      <c r="A12" s="96" t="s">
        <v>333</v>
      </c>
      <c r="B12" s="93" t="s">
        <v>438</v>
      </c>
      <c r="C12" s="121" t="n">
        <v>18884</v>
      </c>
      <c r="D12" s="121" t="n">
        <v>22237</v>
      </c>
      <c r="E12" s="121" t="n">
        <v>25098</v>
      </c>
      <c r="F12" s="121" t="n">
        <v>28167</v>
      </c>
      <c r="G12" s="121" t="n">
        <v>32791</v>
      </c>
      <c r="H12" s="93" t="s">
        <v>508</v>
      </c>
    </row>
    <row r="13" customFormat="false" ht="15" hidden="false" customHeight="false" outlineLevel="0" collapsed="false">
      <c r="A13" s="96" t="s">
        <v>509</v>
      </c>
      <c r="B13" s="93" t="s">
        <v>438</v>
      </c>
      <c r="C13" s="121" t="n">
        <v>8802</v>
      </c>
      <c r="D13" s="121" t="n">
        <v>9973</v>
      </c>
      <c r="E13" s="121" t="n">
        <v>11090</v>
      </c>
      <c r="F13" s="121" t="n">
        <v>12585</v>
      </c>
      <c r="G13" s="121" t="n">
        <v>13894</v>
      </c>
      <c r="H13" s="93" t="s">
        <v>508</v>
      </c>
    </row>
    <row r="14" customFormat="false" ht="15" hidden="false" customHeight="false" outlineLevel="0" collapsed="false">
      <c r="A14" s="96" t="s">
        <v>510</v>
      </c>
      <c r="B14" s="93" t="s">
        <v>438</v>
      </c>
      <c r="C14" s="121" t="n">
        <v>94</v>
      </c>
      <c r="D14" s="121" t="n">
        <v>356</v>
      </c>
      <c r="E14" s="121" t="n">
        <v>539</v>
      </c>
      <c r="F14" s="121" t="n">
        <v>680</v>
      </c>
      <c r="G14" s="121" t="n">
        <v>504</v>
      </c>
      <c r="H14" s="93" t="s">
        <v>511</v>
      </c>
    </row>
    <row r="15" customFormat="false" ht="15" hidden="false" customHeight="false" outlineLevel="0" collapsed="false">
      <c r="A15" s="96" t="s">
        <v>512</v>
      </c>
      <c r="B15" s="93" t="s">
        <v>438</v>
      </c>
      <c r="C15" s="121" t="n">
        <v>10082</v>
      </c>
      <c r="D15" s="121" t="n">
        <v>12264</v>
      </c>
      <c r="E15" s="121" t="n">
        <v>14008</v>
      </c>
      <c r="F15" s="121" t="n">
        <v>15582</v>
      </c>
      <c r="G15" s="121" t="n">
        <v>18897</v>
      </c>
      <c r="H15" s="93" t="s">
        <v>508</v>
      </c>
    </row>
    <row r="16" customFormat="false" ht="15" hidden="false" customHeight="false" outlineLevel="0" collapsed="false">
      <c r="A16" s="96" t="s">
        <v>513</v>
      </c>
      <c r="B16" s="93" t="s">
        <v>438</v>
      </c>
      <c r="C16" s="121" t="n">
        <v>1620</v>
      </c>
      <c r="D16" s="121" t="n">
        <v>1802</v>
      </c>
      <c r="E16" s="121" t="n">
        <v>2444</v>
      </c>
      <c r="F16" s="121" t="n">
        <v>2380</v>
      </c>
      <c r="G16" s="121" t="n">
        <v>3610</v>
      </c>
      <c r="H16" s="93" t="s">
        <v>508</v>
      </c>
    </row>
    <row r="17" customFormat="false" ht="15" hidden="false" customHeight="false" outlineLevel="0" collapsed="false">
      <c r="A17" s="96" t="s">
        <v>107</v>
      </c>
      <c r="B17" s="93" t="s">
        <v>438</v>
      </c>
      <c r="C17" s="121" t="n">
        <v>8687</v>
      </c>
      <c r="D17" s="121" t="n">
        <v>9930</v>
      </c>
      <c r="E17" s="121" t="n">
        <v>11195</v>
      </c>
      <c r="F17" s="121" t="n">
        <v>12874</v>
      </c>
      <c r="G17" s="121" t="n">
        <v>14968</v>
      </c>
      <c r="H17" s="93" t="s">
        <v>508</v>
      </c>
    </row>
    <row r="18" customFormat="false" ht="15" hidden="false" customHeight="false" outlineLevel="0" collapsed="false">
      <c r="A18" s="96" t="s">
        <v>463</v>
      </c>
      <c r="B18" s="93" t="s">
        <v>438</v>
      </c>
      <c r="C18" s="104" t="n">
        <f aca="false">C17+C16</f>
        <v>10307</v>
      </c>
      <c r="D18" s="121" t="n">
        <v>11732</v>
      </c>
      <c r="E18" s="121" t="n">
        <v>13639</v>
      </c>
      <c r="F18" s="121" t="n">
        <v>15254</v>
      </c>
      <c r="G18" s="121" t="n">
        <v>18578</v>
      </c>
      <c r="H18" s="93" t="s">
        <v>514</v>
      </c>
    </row>
    <row r="20" customFormat="false" ht="15" hidden="false" customHeight="false" outlineLevel="0" collapsed="false">
      <c r="A20" s="94" t="s">
        <v>515</v>
      </c>
      <c r="B20" s="95"/>
      <c r="C20" s="95"/>
      <c r="D20" s="95"/>
      <c r="E20" s="95"/>
      <c r="F20" s="95"/>
      <c r="G20" s="95"/>
      <c r="H20" s="95"/>
    </row>
    <row r="21" customFormat="false" ht="15" hidden="false" customHeight="false" outlineLevel="0" collapsed="false">
      <c r="A21" s="96" t="s">
        <v>465</v>
      </c>
      <c r="B21" s="93" t="s">
        <v>438</v>
      </c>
      <c r="C21" s="121" t="n">
        <v>7421</v>
      </c>
      <c r="D21" s="121" t="n">
        <v>7008</v>
      </c>
      <c r="E21" s="121" t="n">
        <v>8588</v>
      </c>
      <c r="F21" s="121" t="n">
        <v>8442</v>
      </c>
      <c r="G21" s="121" t="n">
        <v>10566</v>
      </c>
      <c r="H21" s="93" t="s">
        <v>508</v>
      </c>
    </row>
    <row r="22" customFormat="false" ht="15" hidden="false" customHeight="false" outlineLevel="0" collapsed="false">
      <c r="A22" s="96" t="s">
        <v>516</v>
      </c>
      <c r="B22" s="93" t="s">
        <v>438</v>
      </c>
      <c r="C22" s="121" t="n">
        <v>586</v>
      </c>
      <c r="D22" s="121" t="n">
        <v>589</v>
      </c>
      <c r="E22" s="121" t="n">
        <v>32</v>
      </c>
      <c r="F22" s="121" t="n">
        <v>492</v>
      </c>
      <c r="G22" s="121" t="n">
        <v>561</v>
      </c>
      <c r="H22" s="93" t="s">
        <v>508</v>
      </c>
    </row>
    <row r="23" customFormat="false" ht="15" hidden="false" customHeight="false" outlineLevel="0" collapsed="false">
      <c r="A23" s="96" t="s">
        <v>517</v>
      </c>
      <c r="B23" s="93" t="s">
        <v>438</v>
      </c>
      <c r="C23" s="121" t="n">
        <v>473</v>
      </c>
      <c r="D23" s="121" t="n">
        <v>400</v>
      </c>
      <c r="E23" s="121" t="n">
        <v>592</v>
      </c>
      <c r="F23" s="121" t="n">
        <v>330</v>
      </c>
      <c r="G23" s="121" t="n">
        <v>332</v>
      </c>
      <c r="H23" s="93" t="s">
        <v>508</v>
      </c>
    </row>
    <row r="24" customFormat="false" ht="15" hidden="false" customHeight="false" outlineLevel="0" collapsed="false">
      <c r="A24" s="96" t="s">
        <v>148</v>
      </c>
      <c r="B24" s="93" t="s">
        <v>438</v>
      </c>
      <c r="C24" s="121" t="n">
        <v>7662</v>
      </c>
      <c r="D24" s="121" t="n">
        <v>7522</v>
      </c>
      <c r="E24" s="121" t="n">
        <v>7660</v>
      </c>
      <c r="F24" s="121" t="n">
        <v>9193</v>
      </c>
      <c r="G24" s="121" t="n">
        <v>9560</v>
      </c>
      <c r="H24" s="93" t="s">
        <v>508</v>
      </c>
    </row>
    <row r="25" customFormat="false" ht="15" hidden="false" customHeight="false" outlineLevel="0" collapsed="false">
      <c r="A25" s="96" t="s">
        <v>352</v>
      </c>
      <c r="B25" s="93" t="s">
        <v>438</v>
      </c>
      <c r="C25" s="121" t="n">
        <v>3671</v>
      </c>
      <c r="D25" s="121" t="n">
        <v>3859</v>
      </c>
      <c r="E25" s="121" t="n">
        <v>4086</v>
      </c>
      <c r="F25" s="121" t="n">
        <v>5453</v>
      </c>
      <c r="G25" s="121" t="n">
        <v>5554</v>
      </c>
      <c r="H25" s="93" t="s">
        <v>508</v>
      </c>
    </row>
    <row r="26" customFormat="false" ht="15" hidden="false" customHeight="false" outlineLevel="0" collapsed="false">
      <c r="A26" s="96" t="s">
        <v>518</v>
      </c>
      <c r="B26" s="93" t="s">
        <v>438</v>
      </c>
      <c r="C26" s="121" t="n">
        <v>792</v>
      </c>
      <c r="D26" s="121" t="n">
        <v>274</v>
      </c>
      <c r="E26" s="121" t="n">
        <v>1337</v>
      </c>
      <c r="F26" s="121" t="n">
        <v>750</v>
      </c>
      <c r="G26" s="121" t="n">
        <v>749</v>
      </c>
      <c r="H26" s="93" t="s">
        <v>508</v>
      </c>
    </row>
    <row r="27" customFormat="false" ht="15" hidden="false" customHeight="false" outlineLevel="0" collapsed="false">
      <c r="A27" s="96" t="s">
        <v>471</v>
      </c>
      <c r="B27" s="93" t="s">
        <v>438</v>
      </c>
      <c r="C27" s="121" t="n">
        <v>13109</v>
      </c>
      <c r="D27" s="121" t="n">
        <v>13749</v>
      </c>
      <c r="E27" s="121" t="n">
        <v>14344</v>
      </c>
      <c r="F27" s="121" t="n">
        <v>17476</v>
      </c>
      <c r="G27" s="121" t="n">
        <v>18251</v>
      </c>
      <c r="H27" s="93" t="s">
        <v>508</v>
      </c>
    </row>
    <row r="28" customFormat="false" ht="15" hidden="false" customHeight="false" outlineLevel="0" collapsed="false">
      <c r="A28" s="96" t="s">
        <v>519</v>
      </c>
      <c r="B28" s="93" t="s">
        <v>438</v>
      </c>
      <c r="C28" s="121" t="n">
        <v>7383</v>
      </c>
      <c r="D28" s="121" t="n">
        <v>6356</v>
      </c>
      <c r="E28" s="121" t="n">
        <v>6975</v>
      </c>
      <c r="F28" s="121" t="n">
        <v>6515</v>
      </c>
      <c r="G28" s="121" t="n">
        <v>7746</v>
      </c>
      <c r="H28" s="93" t="s">
        <v>508</v>
      </c>
    </row>
    <row r="30" customFormat="false" ht="15" hidden="false" customHeight="false" outlineLevel="0" collapsed="false">
      <c r="A30" s="94" t="s">
        <v>520</v>
      </c>
      <c r="B30" s="95"/>
      <c r="C30" s="95"/>
      <c r="D30" s="95"/>
      <c r="E30" s="95"/>
      <c r="F30" s="95"/>
      <c r="G30" s="95"/>
      <c r="H30" s="95"/>
    </row>
    <row r="31" customFormat="false" ht="15" hidden="false" customHeight="false" outlineLevel="0" collapsed="false">
      <c r="A31" s="96" t="s">
        <v>475</v>
      </c>
      <c r="B31" s="93" t="s">
        <v>438</v>
      </c>
      <c r="C31" s="121" t="n">
        <v>9463</v>
      </c>
      <c r="D31" s="121" t="n">
        <v>11195</v>
      </c>
      <c r="E31" s="121" t="n">
        <v>11980</v>
      </c>
      <c r="F31" s="121" t="n">
        <v>14780</v>
      </c>
      <c r="G31" s="121" t="n">
        <v>17648</v>
      </c>
      <c r="H31" s="93" t="s">
        <v>508</v>
      </c>
    </row>
    <row r="32" customFormat="false" ht="15" hidden="false" customHeight="false" outlineLevel="0" collapsed="false">
      <c r="A32" s="96" t="s">
        <v>521</v>
      </c>
      <c r="B32" s="93" t="s">
        <v>438</v>
      </c>
      <c r="C32" s="121" t="n">
        <v>407</v>
      </c>
      <c r="D32" s="121" t="n">
        <v>442</v>
      </c>
      <c r="E32" s="121" t="n">
        <v>371</v>
      </c>
      <c r="F32" s="121" t="n">
        <v>474</v>
      </c>
      <c r="G32" s="121" t="n">
        <v>489</v>
      </c>
      <c r="H32" s="93" t="s">
        <v>508</v>
      </c>
    </row>
    <row r="33" customFormat="false" ht="15" hidden="false" customHeight="false" outlineLevel="0" collapsed="false">
      <c r="A33" s="96" t="s">
        <v>522</v>
      </c>
      <c r="B33" s="93" t="s">
        <v>438</v>
      </c>
      <c r="C33" s="121" t="n">
        <v>407</v>
      </c>
      <c r="D33" s="121" t="n">
        <v>655</v>
      </c>
      <c r="E33" s="121" t="n">
        <v>717</v>
      </c>
      <c r="F33" s="121" t="n">
        <v>720</v>
      </c>
      <c r="G33" s="121" t="n">
        <v>726</v>
      </c>
      <c r="H33" s="93" t="s">
        <v>508</v>
      </c>
    </row>
    <row r="34" customFormat="false" ht="15" hidden="false" customHeight="false" outlineLevel="0" collapsed="false">
      <c r="A34" s="96" t="s">
        <v>523</v>
      </c>
      <c r="B34" s="93" t="s">
        <v>438</v>
      </c>
      <c r="C34" s="121" t="n">
        <v>4436</v>
      </c>
      <c r="D34" s="121" t="n">
        <v>313</v>
      </c>
      <c r="E34" s="121" t="n">
        <v>0</v>
      </c>
      <c r="F34" s="121" t="n">
        <v>2511</v>
      </c>
      <c r="G34" s="121" t="n">
        <v>0</v>
      </c>
      <c r="H34" s="93" t="s">
        <v>508</v>
      </c>
    </row>
    <row r="35" customFormat="false" ht="15" hidden="false" customHeight="false" outlineLevel="0" collapsed="false">
      <c r="A35" s="96" t="s">
        <v>524</v>
      </c>
      <c r="B35" s="93" t="s">
        <v>438</v>
      </c>
      <c r="C35" s="121" t="n">
        <v>5904</v>
      </c>
      <c r="D35" s="121" t="n">
        <v>8753</v>
      </c>
      <c r="E35" s="121" t="n">
        <v>9032</v>
      </c>
      <c r="F35" s="121" t="n">
        <v>10954</v>
      </c>
      <c r="G35" s="121" t="n">
        <v>11727</v>
      </c>
      <c r="H35" s="93" t="s">
        <v>508</v>
      </c>
    </row>
    <row r="36" customFormat="false" ht="15" hidden="false" customHeight="false" outlineLevel="0" collapsed="false">
      <c r="A36" s="96" t="s">
        <v>280</v>
      </c>
      <c r="B36" s="93" t="s">
        <v>438</v>
      </c>
      <c r="C36" s="121" t="n">
        <v>1741</v>
      </c>
      <c r="D36" s="121" t="n">
        <v>1903</v>
      </c>
      <c r="E36" s="121" t="n">
        <v>2158</v>
      </c>
      <c r="F36" s="121" t="n">
        <v>2448</v>
      </c>
      <c r="G36" s="121" t="n">
        <v>2756</v>
      </c>
      <c r="H36" s="93" t="s">
        <v>508</v>
      </c>
    </row>
    <row r="38" customFormat="false" ht="15" hidden="false" customHeight="false" outlineLevel="0" collapsed="false">
      <c r="A38" s="94" t="s">
        <v>525</v>
      </c>
      <c r="B38" s="95"/>
      <c r="C38" s="95"/>
      <c r="D38" s="95"/>
      <c r="E38" s="95"/>
      <c r="F38" s="95"/>
      <c r="G38" s="95"/>
      <c r="H38" s="95"/>
    </row>
    <row r="39" customFormat="false" ht="15" hidden="false" customHeight="false" outlineLevel="0" collapsed="false">
      <c r="A39" s="0" t="s">
        <v>526</v>
      </c>
      <c r="B39" s="0" t="s">
        <v>496</v>
      </c>
      <c r="G39" s="122" t="n">
        <v>876</v>
      </c>
      <c r="H39" s="93" t="s">
        <v>527</v>
      </c>
    </row>
    <row r="40" customFormat="false" ht="15" hidden="false" customHeight="false" outlineLevel="0" collapsed="false">
      <c r="A40" s="0" t="s">
        <v>528</v>
      </c>
      <c r="B40" s="0" t="s">
        <v>493</v>
      </c>
      <c r="G40" s="123" t="n">
        <v>603.24</v>
      </c>
      <c r="H40" s="93" t="s">
        <v>529</v>
      </c>
    </row>
    <row r="41" customFormat="false" ht="15" hidden="false" customHeight="false" outlineLevel="0" collapsed="false">
      <c r="A41" s="0" t="s">
        <v>530</v>
      </c>
      <c r="B41" s="0" t="s">
        <v>531</v>
      </c>
      <c r="G41" s="124" t="n">
        <v>0.76</v>
      </c>
      <c r="H41" s="93" t="s">
        <v>532</v>
      </c>
    </row>
    <row r="42" customFormat="false" ht="15" hidden="false" customHeight="false" outlineLevel="0" collapsed="false">
      <c r="A42" s="0" t="s">
        <v>211</v>
      </c>
      <c r="B42" s="0" t="s">
        <v>438</v>
      </c>
      <c r="G42" s="121" t="n">
        <v>24643</v>
      </c>
      <c r="H42" s="93" t="s">
        <v>533</v>
      </c>
    </row>
    <row r="44" customFormat="false" ht="15" hidden="false" customHeight="false" outlineLevel="0" collapsed="false">
      <c r="A44" s="96" t="s">
        <v>534</v>
      </c>
      <c r="C44" s="109" t="n">
        <f aca="false">C12-C13-C15</f>
        <v>0</v>
      </c>
      <c r="D44" s="109" t="n">
        <f aca="false">D12-D13-D15</f>
        <v>0</v>
      </c>
      <c r="E44" s="109" t="n">
        <f aca="false">E12-E13-E15</f>
        <v>0</v>
      </c>
      <c r="F44" s="109" t="n">
        <f aca="false">F12-F13-F15</f>
        <v>0</v>
      </c>
      <c r="G44" s="109" t="n">
        <f aca="false">G12-G13-G15</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2026-10-15T18:21:57Z</dcterms:created>
  <dc:creator>openpyxl</dc:creator>
  <dc:description/>
  <dc:language>en-US</dc:language>
  <cp:lastModifiedBy/>
  <dcterms:modified xsi:type="dcterms:W3CDTF">2026-10-15T19:54:20Z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